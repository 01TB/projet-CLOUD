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sitohaina Berthin\Downloads\"/>
    </mc:Choice>
  </mc:AlternateContent>
  <xr:revisionPtr revIDLastSave="0" documentId="13_ncr:1_{EB91AB1B-012F-49AC-B2C4-31962BB6F73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</workbook>
</file>

<file path=xl/calcChain.xml><?xml version="1.0" encoding="utf-8"?>
<calcChain xmlns="http://schemas.openxmlformats.org/spreadsheetml/2006/main">
  <c r="B70" i="5" l="1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E2" i="4"/>
  <c r="B2" i="4"/>
  <c r="A2" i="4"/>
  <c r="K70" i="2"/>
  <c r="J70" i="2"/>
  <c r="J69" i="2"/>
  <c r="K69" i="2" s="1"/>
  <c r="K68" i="2"/>
  <c r="J68" i="2"/>
  <c r="K67" i="2"/>
  <c r="J67" i="2"/>
  <c r="K66" i="2"/>
  <c r="J66" i="2"/>
  <c r="J65" i="2"/>
  <c r="K65" i="2" s="1"/>
  <c r="K64" i="2"/>
  <c r="J64" i="2"/>
  <c r="K63" i="2"/>
  <c r="J63" i="2"/>
  <c r="K62" i="2"/>
  <c r="J62" i="2"/>
  <c r="J61" i="2"/>
  <c r="K61" i="2" s="1"/>
  <c r="K60" i="2"/>
  <c r="J60" i="2"/>
  <c r="K59" i="2"/>
  <c r="J59" i="2"/>
  <c r="K58" i="2"/>
  <c r="J58" i="2"/>
  <c r="J57" i="2"/>
  <c r="K57" i="2" s="1"/>
  <c r="K56" i="2"/>
  <c r="J56" i="2"/>
  <c r="K55" i="2"/>
  <c r="J55" i="2"/>
  <c r="K54" i="2"/>
  <c r="J54" i="2"/>
  <c r="J53" i="2"/>
  <c r="K53" i="2" s="1"/>
  <c r="K52" i="2"/>
  <c r="J52" i="2"/>
  <c r="K51" i="2"/>
  <c r="J50" i="2"/>
  <c r="K50" i="2" s="1"/>
  <c r="K49" i="2"/>
  <c r="J49" i="2"/>
  <c r="J48" i="2"/>
  <c r="K48" i="2" s="1"/>
  <c r="J47" i="2"/>
  <c r="K47" i="2" s="1"/>
  <c r="J46" i="2"/>
  <c r="K46" i="2" s="1"/>
  <c r="K45" i="2"/>
  <c r="J45" i="2"/>
  <c r="J44" i="2"/>
  <c r="K44" i="2" s="1"/>
  <c r="J43" i="2"/>
  <c r="K43" i="2" s="1"/>
  <c r="J42" i="2"/>
  <c r="K42" i="2" s="1"/>
  <c r="K41" i="2"/>
  <c r="J41" i="2"/>
  <c r="J40" i="2"/>
  <c r="K40" i="2" s="1"/>
  <c r="J39" i="2"/>
  <c r="K39" i="2" s="1"/>
  <c r="J38" i="2"/>
  <c r="K38" i="2" s="1"/>
  <c r="K37" i="2"/>
  <c r="J37" i="2"/>
  <c r="J36" i="2"/>
  <c r="K36" i="2" s="1"/>
  <c r="J35" i="2"/>
  <c r="K35" i="2" s="1"/>
  <c r="J34" i="2"/>
  <c r="K34" i="2" s="1"/>
  <c r="K33" i="2"/>
  <c r="J33" i="2"/>
  <c r="J32" i="2"/>
  <c r="K32" i="2" s="1"/>
  <c r="J31" i="2"/>
  <c r="K31" i="2" s="1"/>
  <c r="J30" i="2"/>
  <c r="K30" i="2" s="1"/>
  <c r="K29" i="2"/>
  <c r="J29" i="2"/>
  <c r="J28" i="2"/>
  <c r="K28" i="2" s="1"/>
  <c r="J27" i="2"/>
  <c r="K27" i="2" s="1"/>
  <c r="J26" i="2"/>
  <c r="K26" i="2" s="1"/>
  <c r="K25" i="2"/>
  <c r="J25" i="2"/>
  <c r="J24" i="2"/>
  <c r="K24" i="2" s="1"/>
  <c r="J23" i="2"/>
  <c r="K23" i="2" s="1"/>
  <c r="J22" i="2"/>
  <c r="K22" i="2" s="1"/>
  <c r="K21" i="2"/>
  <c r="J21" i="2"/>
  <c r="J20" i="2"/>
  <c r="K20" i="2" s="1"/>
  <c r="J19" i="2"/>
  <c r="K19" i="2" s="1"/>
  <c r="J18" i="2"/>
  <c r="K18" i="2" s="1"/>
  <c r="K17" i="2"/>
  <c r="J17" i="2"/>
  <c r="J16" i="2"/>
  <c r="K16" i="2" s="1"/>
  <c r="J15" i="2"/>
  <c r="K15" i="2" s="1"/>
  <c r="J14" i="2"/>
  <c r="K14" i="2" s="1"/>
  <c r="K13" i="2"/>
  <c r="J13" i="2"/>
  <c r="J12" i="2"/>
  <c r="K12" i="2" s="1"/>
  <c r="J11" i="2"/>
  <c r="K11" i="2" s="1"/>
  <c r="J10" i="2"/>
  <c r="K10" i="2" s="1"/>
  <c r="K9" i="2"/>
  <c r="J9" i="2"/>
  <c r="J8" i="2"/>
  <c r="K8" i="2" s="1"/>
  <c r="J7" i="2"/>
  <c r="K7" i="2" s="1"/>
  <c r="J6" i="2"/>
  <c r="K6" i="2" s="1"/>
  <c r="K5" i="2"/>
  <c r="J5" i="2"/>
  <c r="J4" i="2"/>
  <c r="K4" i="2" s="1"/>
  <c r="J3" i="2"/>
  <c r="K3" i="2" s="1"/>
  <c r="J2" i="2"/>
  <c r="C2" i="4" s="1"/>
  <c r="C3" i="4" l="1"/>
  <c r="D2" i="4"/>
  <c r="B12" i="3" s="1"/>
  <c r="K2" i="2"/>
</calcChain>
</file>

<file path=xl/sharedStrings.xml><?xml version="1.0" encoding="utf-8"?>
<sst xmlns="http://schemas.openxmlformats.org/spreadsheetml/2006/main" count="418" uniqueCount="143">
  <si>
    <t>ETU003097</t>
  </si>
  <si>
    <t>ANDRIANIAINA Diay Nathan</t>
  </si>
  <si>
    <t>ETU003117</t>
  </si>
  <si>
    <t>KOTONIRINA Hardy Fleurys</t>
  </si>
  <si>
    <t>ETU003150</t>
  </si>
  <si>
    <t>RAKOTOBE Tojonirina Ravanona</t>
  </si>
  <si>
    <t>ETU003166</t>
  </si>
  <si>
    <t>RAMANANKIRAHINA Tsitohaina Berthin</t>
  </si>
  <si>
    <t>Ligne</t>
  </si>
  <si>
    <t>Catégorie</t>
  </si>
  <si>
    <t>Module</t>
  </si>
  <si>
    <t>Page</t>
  </si>
  <si>
    <t>Tâche</t>
  </si>
  <si>
    <t>Type</t>
  </si>
  <si>
    <t>Qui</t>
  </si>
  <si>
    <t>Estimation (min)</t>
  </si>
  <si>
    <t>Temps passé</t>
  </si>
  <si>
    <t>Reste à faire</t>
  </si>
  <si>
    <t>Avancement</t>
  </si>
  <si>
    <t>Initialisation</t>
  </si>
  <si>
    <t>TileServer GL</t>
  </si>
  <si>
    <t>Dockeriser TileServer GL</t>
  </si>
  <si>
    <t>Configuration</t>
  </si>
  <si>
    <t>Telecharger tuiles Antananarivo (.mbtiles)</t>
  </si>
  <si>
    <t>Telechargement</t>
  </si>
  <si>
    <t>Angular Setup</t>
  </si>
  <si>
    <t>Initialiser projet Angular avec routing (docker)</t>
  </si>
  <si>
    <t>Developpement</t>
  </si>
  <si>
    <t>Carte</t>
  </si>
  <si>
    <t>map</t>
  </si>
  <si>
    <t>Component Map avec Leaflet + tuiles offline</t>
  </si>
  <si>
    <t>Composant</t>
  </si>
  <si>
    <t>Integration geolocalisation HTML5</t>
  </si>
  <si>
    <t>Marqueurs interactifs signalements</t>
  </si>
  <si>
    <t>Ionic Setup</t>
  </si>
  <si>
    <t>Initialiser projet Ionic Vue</t>
  </si>
  <si>
    <t>Carte Mobile</t>
  </si>
  <si>
    <t>Integration plugin maps Ionic + tuiles offline</t>
  </si>
  <si>
    <t>GPS en temps reel avec suivi position</t>
  </si>
  <si>
    <t>Front-office web</t>
  </si>
  <si>
    <t>Firebase</t>
  </si>
  <si>
    <t>Initialiser projet Firebase (Auth + Firestore)</t>
  </si>
  <si>
    <t>Configurer regles de securite Firestore</t>
  </si>
  <si>
    <t>Securite</t>
  </si>
  <si>
    <t>Modele Firestore signalements (collections + champs)</t>
  </si>
  <si>
    <t>Base de donnees</t>
  </si>
  <si>
    <t>Configurer Firebase SDK mobile</t>
  </si>
  <si>
    <t>Mettre en place AsyncStorage pour donnees locales</t>
  </si>
  <si>
    <t>Auth Mobile</t>
  </si>
  <si>
    <t>login</t>
  </si>
  <si>
    <t>Page login mobile (email/password)</t>
  </si>
  <si>
    <t>Persistance session avec AsyncStorage</t>
  </si>
  <si>
    <t>Auto-login au demarrage de l'app</t>
  </si>
  <si>
    <t>Generateur ID</t>
  </si>
  <si>
    <t>Service LocalIDService (generation UUID)</t>
  </si>
  <si>
    <t>Service</t>
  </si>
  <si>
    <t>Stockage ID local dans AsyncStorage</t>
  </si>
  <si>
    <t>Signalements Mobile</t>
  </si>
  <si>
    <t>Formulaire avec photo (Camera API)</t>
  </si>
  <si>
    <t>Enregistrement geolocalisation precise</t>
  </si>
  <si>
    <t>Service d'envoi signalement vers Firebase</t>
  </si>
  <si>
    <t>Synchronisation</t>
  </si>
  <si>
    <t>Ecran Sync manuelle (push/pull)</t>
  </si>
  <si>
    <t>Compression images avant envoi</t>
  </si>
  <si>
    <t>Resolution conflits (last-write-win)</t>
  </si>
  <si>
    <t>Back-office web</t>
  </si>
  <si>
    <t>Docker</t>
  </si>
  <si>
    <t>Creer Dockerfile + backend Spring boot Java</t>
  </si>
  <si>
    <t>Configurer docker-compose.yml avec PostgreSQL + backend</t>
  </si>
  <si>
    <t>PostgreSQL</t>
  </si>
  <si>
    <t>Initialiser base unique (web + ID generator)</t>
  </si>
  <si>
    <t>Creer tables : users ( tables dans la conception )</t>
  </si>
  <si>
    <t>Authentification</t>
  </si>
  <si>
    <t>Modele User PostgreSQL (champs + index)</t>
  </si>
  <si>
    <t>Metier</t>
  </si>
  <si>
    <t>inscription</t>
  </si>
  <si>
    <t>API Inscription Web (POST /register) avec validation email</t>
  </si>
  <si>
    <t>API Login Web (POST /login) avec generation JWT</t>
  </si>
  <si>
    <t>Swagger pour generateur d'identification</t>
  </si>
  <si>
    <t>API Login Mobile-only (POST /mobile-login)</t>
  </si>
  <si>
    <t>Middleware verification JWT pour routes protegees</t>
  </si>
  <si>
    <t>accueil</t>
  </si>
  <si>
    <t>Refresh token et blacklist token (logout)</t>
  </si>
  <si>
    <t>Table local_ids (id, user_id, local_id, device_id, status)</t>
  </si>
  <si>
    <t>API Generation ID local (POST /generate-local-id)</t>
  </si>
  <si>
    <t>API Recuperation IDs en attente (GET /pending-ids)</t>
  </si>
  <si>
    <t>Signalements</t>
  </si>
  <si>
    <t>Modele RoadIssue PostgreSQL</t>
  </si>
  <si>
    <t>signalement-add</t>
  </si>
  <si>
    <t>API Creation signalement (POST /reports) avec upload image</t>
  </si>
  <si>
    <t>API Liste signalements (GET /reports)</t>
  </si>
  <si>
    <t>API Mise Ã jour statut (PATCH /reports/:id)</t>
  </si>
  <si>
    <t>API Sync Push vers Firebase (POST /sync/push)</t>
  </si>
  <si>
    <t>API Sync Pull depuis Firebase (POST /sync/pull)</t>
  </si>
  <si>
    <t>Logs de synchronisation (table sync_logs)</t>
  </si>
  <si>
    <t>Creation de donnees de test</t>
  </si>
  <si>
    <t>Configurer services AuthService</t>
  </si>
  <si>
    <t>ApiService</t>
  </si>
  <si>
    <t>Auth Web</t>
  </si>
  <si>
    <t>Page login (email/password)</t>
  </si>
  <si>
    <t>Page inscription (form complet)</t>
  </si>
  <si>
    <t>Page mot de passe oublie</t>
  </si>
  <si>
    <t>profil</t>
  </si>
  <si>
    <t>Page profil utilisateur (edition)</t>
  </si>
  <si>
    <t>Formulaire creation signalement avec upload photo</t>
  </si>
  <si>
    <t>Liste paginee avec filtres (statut, date)</t>
  </si>
  <si>
    <t>liste signalement</t>
  </si>
  <si>
    <t>Export PDF/Excel des signalements</t>
  </si>
  <si>
    <t>Bouton 'Sync maintenant' dans interface admin</t>
  </si>
  <si>
    <t>Interface choix donnees Ã sync (tout / nouveaux)</t>
  </si>
  <si>
    <t>Dashboard Admin</t>
  </si>
  <si>
    <t>dashboard</t>
  </si>
  <si>
    <t>Stats utilisateurs et signalements</t>
  </si>
  <si>
    <t>Logs de synchronisation visibles</t>
  </si>
  <si>
    <t>Backend</t>
  </si>
  <si>
    <t>Tests unitaires API auth (Jest)</t>
  </si>
  <si>
    <t>Test</t>
  </si>
  <si>
    <t>Tests integration PostgreSQL</t>
  </si>
  <si>
    <t>Frontend Web</t>
  </si>
  <si>
    <t>Tests composants Angular (Jasmine/Karma)</t>
  </si>
  <si>
    <t>Tests E2E avec Cypress</t>
  </si>
  <si>
    <t>Mobile</t>
  </si>
  <si>
    <t>Tests unitaires Vue.js (Jest)</t>
  </si>
  <si>
    <t>Tests offline (simulation hors connexion)</t>
  </si>
  <si>
    <t>Technique</t>
  </si>
  <si>
    <t>MCD PostgreSQL detaille</t>
  </si>
  <si>
    <t>Documentation</t>
  </si>
  <si>
    <t>Diagramme architecture complete</t>
  </si>
  <si>
    <t>Documentation API avec Swagger</t>
  </si>
  <si>
    <t>Utilisateur</t>
  </si>
  <si>
    <t>Guide deploiement Docker + captures ecrans</t>
  </si>
  <si>
    <t>Total général</t>
  </si>
  <si>
    <t>estimation total</t>
  </si>
  <si>
    <t>temps passé total</t>
  </si>
  <si>
    <t>reste à faire total</t>
  </si>
  <si>
    <t>avancement</t>
  </si>
  <si>
    <t>heure</t>
  </si>
  <si>
    <t>Total</t>
  </si>
  <si>
    <t/>
  </si>
  <si>
    <t>SUM of Estimation (min)</t>
  </si>
  <si>
    <t>SUM of Temps passé</t>
  </si>
  <si>
    <t>SUM of Reste à faire</t>
  </si>
  <si>
    <t>(vide)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</si>
</sst>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4A86E8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5" fillId="3" borderId="0" xfId="0" applyFont="1" applyFill="1"/>
    <xf numFmtId="10" fontId="5" fillId="3" borderId="0" xfId="0" applyNumberFormat="1" applyFont="1" applyFill="1" applyAlignment="1">
      <alignment horizontal="right"/>
    </xf>
    <xf numFmtId="0" fontId="6" fillId="4" borderId="1" xfId="0" applyFont="1" applyFill="1" applyBorder="1"/>
    <xf numFmtId="0" fontId="7" fillId="0" borderId="0" xfId="0" applyFont="1" applyAlignment="1">
      <alignment horizontal="right"/>
    </xf>
    <xf numFmtId="10" fontId="7" fillId="0" borderId="0" xfId="0" applyNumberFormat="1" applyFont="1" applyAlignment="1">
      <alignment horizontal="right"/>
    </xf>
    <xf numFmtId="0" fontId="7" fillId="0" borderId="0" xfId="0" applyFont="1"/>
    <xf numFmtId="0" fontId="8" fillId="4" borderId="0" xfId="0" applyFont="1" applyFill="1"/>
    <xf numFmtId="0" fontId="8" fillId="0" borderId="0" xfId="0" applyFont="1"/>
    <xf numFmtId="164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Tsitohaina Berthin" refreshedDate="46049.547281944448" refreshedVersion="8" recordCount="70" xr:uid="{00000000-000A-0000-FFFF-FFFF00000000}">
  <cacheSource type="worksheet">
    <worksheetSource ref="B1:K99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Tâche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3150"/>
        <s v="ETU003097"/>
        <s v="ETU003117"/>
        <s v="ETU003166"/>
        <m/>
      </sharedItems>
    </cacheField>
    <cacheField name="Estimation (min)" numFmtId="0">
      <sharedItems containsString="0" containsBlank="1" containsNumber="1" containsInteger="1" minValue="15" maxValue="80"/>
    </cacheField>
    <cacheField name="Temps passé" numFmtId="0">
      <sharedItems containsString="0" containsBlank="1" containsNumber="1" containsInteger="1" minValue="0" maxValue="80"/>
    </cacheField>
    <cacheField name="Reste à faire" numFmtId="0">
      <sharedItems containsString="0" containsBlank="1" containsNumber="1" containsInteger="1" minValue="0" maxValue="70"/>
    </cacheField>
    <cacheField name="Avancement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Initialisation"/>
    <s v="TileServer GL"/>
    <m/>
    <s v="Dockeriser TileServer GL"/>
    <s v="Configuration"/>
    <x v="0"/>
    <n v="45"/>
    <n v="45"/>
    <n v="0"/>
    <n v="1"/>
  </r>
  <r>
    <s v="Initialisation"/>
    <s v="TileServer GL"/>
    <m/>
    <s v="Telecharger tuiles Antananarivo (.mbtiles)"/>
    <s v="Telechargement"/>
    <x v="1"/>
    <n v="60"/>
    <n v="30"/>
    <n v="30"/>
    <n v="0.5"/>
  </r>
  <r>
    <s v="Initialisation"/>
    <s v="Angular Setup"/>
    <m/>
    <s v="Initialiser projet Angular avec routing (docker)"/>
    <s v="Developpement"/>
    <x v="1"/>
    <n v="60"/>
    <n v="60"/>
    <n v="0"/>
    <n v="1"/>
  </r>
  <r>
    <s v="Initialisation"/>
    <s v="Carte"/>
    <s v="map"/>
    <s v="Component Map avec Leaflet + tuiles offline"/>
    <s v="Composant"/>
    <x v="0"/>
    <n v="80"/>
    <n v="80"/>
    <n v="0"/>
    <n v="1"/>
  </r>
  <r>
    <s v="Initialisation"/>
    <s v="Carte"/>
    <s v="map"/>
    <s v="Integration geolocalisation HTML5"/>
    <s v="Composant"/>
    <x v="2"/>
    <n v="40"/>
    <n v="30"/>
    <n v="10"/>
    <n v="0.75"/>
  </r>
  <r>
    <s v="Initialisation"/>
    <s v="Carte"/>
    <s v="map"/>
    <s v="Marqueurs interactifs signalements"/>
    <s v="Composant"/>
    <x v="1"/>
    <n v="50"/>
    <n v="30"/>
    <n v="20"/>
    <n v="0.6"/>
  </r>
  <r>
    <s v="Initialisation"/>
    <s v="Ionic Setup"/>
    <m/>
    <s v="Initialiser projet Ionic Vue"/>
    <s v="Configuration"/>
    <x v="3"/>
    <n v="60"/>
    <n v="0"/>
    <n v="60"/>
    <n v="0"/>
  </r>
  <r>
    <s v="Initialisation"/>
    <s v="Carte Mobile"/>
    <m/>
    <s v="Integration plugin maps Ionic + tuiles offline"/>
    <s v="Composant"/>
    <x v="3"/>
    <n v="60"/>
    <n v="60"/>
    <n v="0"/>
    <n v="1"/>
  </r>
  <r>
    <s v="Initialisation"/>
    <s v="Carte Mobile"/>
    <s v="map"/>
    <s v="GPS en temps reel avec suivi position"/>
    <s v="Composant"/>
    <x v="0"/>
    <n v="45"/>
    <n v="0"/>
    <n v="45"/>
    <n v="0"/>
  </r>
  <r>
    <s v="Front-office web"/>
    <s v="Firebase"/>
    <m/>
    <s v="Initialiser projet Firebase (Auth + Firestore)"/>
    <s v="Configuration"/>
    <x v="2"/>
    <n v="30"/>
    <n v="30"/>
    <n v="0"/>
    <n v="1"/>
  </r>
  <r>
    <s v="Front-office web"/>
    <s v="Firebase"/>
    <m/>
    <s v="Configurer regles de securite Firestore"/>
    <s v="Securite"/>
    <x v="3"/>
    <n v="30"/>
    <n v="30"/>
    <n v="0"/>
    <n v="1"/>
  </r>
  <r>
    <s v="Front-office web"/>
    <s v="Firebase"/>
    <m/>
    <s v="Modele Firestore signalements (collections + champs)"/>
    <s v="Base de donnees"/>
    <x v="3"/>
    <n v="30"/>
    <n v="0"/>
    <n v="30"/>
    <n v="0"/>
  </r>
  <r>
    <s v="Front-office web"/>
    <s v="Ionic Setup"/>
    <m/>
    <s v="Configurer Firebase SDK mobile"/>
    <s v="Configuration"/>
    <x v="0"/>
    <n v="35"/>
    <n v="0"/>
    <n v="35"/>
    <n v="0"/>
  </r>
  <r>
    <s v="Front-office web"/>
    <s v="Ionic Setup"/>
    <m/>
    <s v="Mettre en place AsyncStorage pour donnees locales"/>
    <s v="Configuration"/>
    <x v="2"/>
    <n v="30"/>
    <n v="0"/>
    <n v="30"/>
    <n v="0"/>
  </r>
  <r>
    <s v="Front-office web"/>
    <s v="Auth Mobile"/>
    <s v="login"/>
    <s v="Page login mobile (email/password)"/>
    <s v="Composant"/>
    <x v="1"/>
    <n v="40"/>
    <n v="40"/>
    <n v="0"/>
    <n v="1"/>
  </r>
  <r>
    <s v="Front-office web"/>
    <s v="Auth Mobile"/>
    <m/>
    <s v="Persistance session avec AsyncStorage"/>
    <s v="Composant"/>
    <x v="3"/>
    <n v="25"/>
    <n v="0"/>
    <n v="25"/>
    <n v="0"/>
  </r>
  <r>
    <s v="Front-office web"/>
    <s v="Auth Mobile"/>
    <m/>
    <s v="Auto-login au demarrage de l'app"/>
    <s v="Composant"/>
    <x v="0"/>
    <n v="20"/>
    <n v="0"/>
    <n v="20"/>
    <n v="0"/>
  </r>
  <r>
    <s v="Front-office web"/>
    <s v="Generateur ID"/>
    <m/>
    <s v="Service LocalIDService (generation UUID)"/>
    <s v="Service"/>
    <x v="2"/>
    <n v="35"/>
    <n v="35"/>
    <n v="0"/>
    <n v="1"/>
  </r>
  <r>
    <s v="Front-office web"/>
    <s v="Generateur ID"/>
    <m/>
    <s v="Stockage ID local dans AsyncStorage"/>
    <s v="Service"/>
    <x v="1"/>
    <n v="20"/>
    <n v="0"/>
    <n v="20"/>
    <n v="0"/>
  </r>
  <r>
    <s v="Front-office web"/>
    <s v="Signalements Mobile"/>
    <s v="map"/>
    <s v="Formulaire avec photo (Camera API)"/>
    <s v="Composant"/>
    <x v="2"/>
    <n v="60"/>
    <n v="0"/>
    <n v="60"/>
    <n v="0"/>
  </r>
  <r>
    <s v="Front-office web"/>
    <s v="Signalements Mobile"/>
    <s v="map"/>
    <s v="Enregistrement geolocalisation precise"/>
    <s v="Composant"/>
    <x v="1"/>
    <n v="40"/>
    <n v="0"/>
    <n v="40"/>
    <n v="0"/>
  </r>
  <r>
    <s v="Front-office web"/>
    <s v="Signalements Mobile"/>
    <s v="map"/>
    <s v="Service d'envoi signalement vers Firebase"/>
    <s v="Service"/>
    <x v="2"/>
    <n v="40"/>
    <n v="0"/>
    <n v="40"/>
    <n v="0"/>
  </r>
  <r>
    <s v="Front-office web"/>
    <s v="Synchronisation"/>
    <m/>
    <s v="Ecran Sync manuelle (push/pull)"/>
    <s v="Composant"/>
    <x v="0"/>
    <n v="45"/>
    <n v="0"/>
    <n v="45"/>
    <n v="0"/>
  </r>
  <r>
    <s v="Front-office web"/>
    <s v="Synchronisation"/>
    <m/>
    <s v="Compression images avant envoi"/>
    <s v="Service"/>
    <x v="2"/>
    <n v="30"/>
    <n v="0"/>
    <n v="30"/>
    <n v="0"/>
  </r>
  <r>
    <s v="Front-office web"/>
    <s v="Synchronisation"/>
    <m/>
    <s v="Resolution conflits (last-write-win)"/>
    <s v="Service"/>
    <x v="1"/>
    <n v="30"/>
    <n v="0"/>
    <n v="30"/>
    <n v="0"/>
  </r>
  <r>
    <s v="Back-office web"/>
    <s v="Docker"/>
    <m/>
    <s v="Creer Dockerfile + backend Spring boot Java"/>
    <s v="Configuration"/>
    <x v="1"/>
    <n v="60"/>
    <n v="30"/>
    <n v="30"/>
    <n v="0.5"/>
  </r>
  <r>
    <s v="Back-office web"/>
    <s v="Docker"/>
    <m/>
    <s v="Configurer docker-compose.yml avec PostgreSQL + backend"/>
    <s v="Configuration"/>
    <x v="3"/>
    <n v="30"/>
    <n v="30"/>
    <n v="0"/>
    <n v="1"/>
  </r>
  <r>
    <s v="Back-office web"/>
    <s v="PostgreSQL"/>
    <m/>
    <s v="Initialiser base unique (web + ID generator)"/>
    <s v="Base de donnees"/>
    <x v="0"/>
    <n v="50"/>
    <n v="50"/>
    <n v="0"/>
    <n v="1"/>
  </r>
  <r>
    <s v="Back-office web"/>
    <s v="PostgreSQL"/>
    <m/>
    <s v="Creer tables : users ( tables dans la conception )"/>
    <s v="Base de donnees"/>
    <x v="1"/>
    <n v="45"/>
    <n v="45"/>
    <n v="0"/>
    <n v="1"/>
  </r>
  <r>
    <s v="Back-office web"/>
    <s v="Authentification"/>
    <m/>
    <s v="Modele User PostgreSQL (champs + index)"/>
    <s v="Metier"/>
    <x v="0"/>
    <n v="30"/>
    <n v="0"/>
    <n v="30"/>
    <n v="0"/>
  </r>
  <r>
    <s v="Back-office web"/>
    <s v="Authentification"/>
    <s v="inscription"/>
    <s v="API Inscription Web (POST /register) avec validation email"/>
    <s v="Metier"/>
    <x v="2"/>
    <n v="40"/>
    <n v="0"/>
    <n v="40"/>
    <n v="0"/>
  </r>
  <r>
    <s v="Back-office web"/>
    <s v="Authentification"/>
    <s v="login"/>
    <s v="API Login Web (POST /login) avec generation JWT"/>
    <s v="Metier"/>
    <x v="1"/>
    <n v="45"/>
    <n v="45"/>
    <n v="0"/>
    <n v="1"/>
  </r>
  <r>
    <s v="Back-office web"/>
    <s v="Authentification"/>
    <s v="login"/>
    <s v="Swagger pour generateur d'identification"/>
    <s v="Metier"/>
    <x v="1"/>
    <n v="15"/>
    <n v="15"/>
    <n v="0"/>
    <n v="1"/>
  </r>
  <r>
    <s v="Back-office web"/>
    <s v="Authentification"/>
    <s v="login"/>
    <s v="API Login Mobile-only (POST /mobile-login)"/>
    <s v="Metier"/>
    <x v="3"/>
    <n v="30"/>
    <n v="0"/>
    <n v="30"/>
    <n v="0"/>
  </r>
  <r>
    <s v="Back-office web"/>
    <s v="Authentification"/>
    <s v="login"/>
    <s v="Middleware verification JWT pour routes protegees"/>
    <s v="Metier"/>
    <x v="0"/>
    <n v="40"/>
    <n v="0"/>
    <n v="40"/>
    <n v="0"/>
  </r>
  <r>
    <s v="Back-office web"/>
    <s v="Authentification"/>
    <s v="accueil"/>
    <s v="Refresh token et blacklist token (logout)"/>
    <s v="Metier"/>
    <x v="2"/>
    <n v="30"/>
    <n v="0"/>
    <n v="30"/>
    <n v="0"/>
  </r>
  <r>
    <s v="Back-office web"/>
    <s v="Generateur ID"/>
    <s v="login"/>
    <s v="Table local_ids (id, user_id, local_id, device_id, status)"/>
    <s v="Metier"/>
    <x v="1"/>
    <n v="25"/>
    <n v="0"/>
    <n v="25"/>
    <n v="0"/>
  </r>
  <r>
    <s v="Back-office web"/>
    <s v="Generateur ID"/>
    <s v="login"/>
    <s v="API Generation ID local (POST /generate-local-id)"/>
    <s v="Metier"/>
    <x v="3"/>
    <n v="30"/>
    <n v="30"/>
    <n v="0"/>
    <n v="1"/>
  </r>
  <r>
    <s v="Back-office web"/>
    <s v="Generateur ID"/>
    <s v="login"/>
    <s v="API Recuperation IDs en attente (GET /pending-ids)"/>
    <s v="Metier"/>
    <x v="0"/>
    <n v="20"/>
    <n v="20"/>
    <n v="0"/>
    <n v="1"/>
  </r>
  <r>
    <s v="Back-office web"/>
    <s v="Signalements"/>
    <s v="map"/>
    <s v="Modele RoadIssue PostgreSQL"/>
    <s v="Metier"/>
    <x v="2"/>
    <n v="40"/>
    <n v="0"/>
    <n v="40"/>
    <n v="0"/>
  </r>
  <r>
    <s v="Back-office web"/>
    <s v="Signalements"/>
    <s v="signalement-add"/>
    <s v="API Creation signalement (POST /reports) avec upload image"/>
    <s v="Metier"/>
    <x v="1"/>
    <n v="60"/>
    <n v="0"/>
    <n v="60"/>
    <n v="0"/>
  </r>
  <r>
    <s v="Back-office web"/>
    <s v="Signalements"/>
    <s v="map"/>
    <s v="API Liste signalements (GET /reports)"/>
    <s v="Metier"/>
    <x v="3"/>
    <n v="30"/>
    <n v="0"/>
    <n v="30"/>
    <n v="0"/>
  </r>
  <r>
    <s v="Back-office web"/>
    <s v="Signalements"/>
    <s v="map"/>
    <s v="API Mise Ã jour statut (PATCH /reports/:id)"/>
    <s v="Metier"/>
    <x v="0"/>
    <n v="30"/>
    <n v="0"/>
    <n v="30"/>
    <n v="0"/>
  </r>
  <r>
    <s v="Back-office web"/>
    <s v="Synchronisation"/>
    <s v="map"/>
    <s v="API Sync Push vers Firebase (POST /sync/push)"/>
    <s v="Metier"/>
    <x v="2"/>
    <n v="60"/>
    <n v="0"/>
    <n v="60"/>
    <n v="0"/>
  </r>
  <r>
    <s v="Back-office web"/>
    <s v="Synchronisation"/>
    <s v="map"/>
    <s v="API Sync Pull depuis Firebase (POST /sync/pull)"/>
    <s v="Metier"/>
    <x v="1"/>
    <n v="60"/>
    <n v="0"/>
    <n v="60"/>
    <n v="0"/>
  </r>
  <r>
    <s v="Back-office web"/>
    <s v="Synchronisation"/>
    <m/>
    <s v="Logs de synchronisation (table sync_logs)"/>
    <s v="Metier"/>
    <x v="3"/>
    <n v="40"/>
    <n v="0"/>
    <n v="40"/>
    <n v="0"/>
  </r>
  <r>
    <s v="Back-office web"/>
    <s v="Firebase"/>
    <m/>
    <s v="Creation de donnees de test"/>
    <s v="Base de donnees"/>
    <x v="3"/>
    <n v="20"/>
    <n v="15"/>
    <n v="5"/>
    <n v="0.75"/>
  </r>
  <r>
    <s v="Back-office web"/>
    <s v="Angular Setup"/>
    <m/>
    <s v="Configurer services AuthService"/>
    <s v="ApiService"/>
    <x v="3"/>
    <n v="45"/>
    <n v="0"/>
    <n v="45"/>
    <n v="0"/>
  </r>
  <r>
    <s v="Back-office web"/>
    <s v="Auth Web"/>
    <s v="login"/>
    <s v="Page login (email/password)"/>
    <s v="Composant"/>
    <x v="0"/>
    <n v="45"/>
    <n v="0"/>
    <n v="45"/>
    <n v="0"/>
  </r>
  <r>
    <s v="Back-office web"/>
    <s v="Auth Web"/>
    <s v="inscription"/>
    <s v="Page inscription (form complet)"/>
    <s v="Composant"/>
    <x v="2"/>
    <n v="50"/>
    <n v="0"/>
    <n v="50"/>
    <n v="0"/>
  </r>
  <r>
    <s v="Back-office web"/>
    <s v="Auth Web"/>
    <s v="login"/>
    <s v="Page mot de passe oublie"/>
    <s v="Composant"/>
    <x v="1"/>
    <n v="30"/>
    <n v="0"/>
    <n v="30"/>
    <n v="0"/>
  </r>
  <r>
    <s v="Back-office web"/>
    <s v="Auth Web"/>
    <s v="profil"/>
    <s v="Page profil utilisateur (edition)"/>
    <s v="Composant"/>
    <x v="3"/>
    <n v="40"/>
    <n v="0"/>
    <n v="40"/>
    <n v="0"/>
  </r>
  <r>
    <s v="Back-office web"/>
    <s v="Signalements"/>
    <s v="signalement-add"/>
    <s v="Formulaire creation signalement avec upload photo"/>
    <s v="Composant"/>
    <x v="3"/>
    <n v="60"/>
    <n v="0"/>
    <n v="60"/>
    <n v="0"/>
  </r>
  <r>
    <s v="Back-office web"/>
    <s v="Signalements"/>
    <s v="signalement-add"/>
    <s v="Liste paginee avec filtres (statut, date)"/>
    <s v="Composant"/>
    <x v="0"/>
    <n v="70"/>
    <n v="0"/>
    <n v="70"/>
    <n v="0"/>
  </r>
  <r>
    <s v="Back-office web"/>
    <s v="Signalements"/>
    <s v="liste signalement"/>
    <s v="Export PDF/Excel des signalements"/>
    <s v="Composant"/>
    <x v="2"/>
    <n v="45"/>
    <n v="0"/>
    <n v="45"/>
    <n v="0"/>
  </r>
  <r>
    <s v="Back-office web"/>
    <s v="Synchronisation"/>
    <s v="map"/>
    <s v="Bouton 'Sync maintenant' dans interface admin"/>
    <s v="Composant"/>
    <x v="1"/>
    <n v="30"/>
    <n v="0"/>
    <n v="30"/>
    <n v="0"/>
  </r>
  <r>
    <s v="Back-office web"/>
    <s v="Synchronisation"/>
    <s v="map"/>
    <s v="Interface choix donnees Ã sync (tout / nouveaux)"/>
    <s v="Composant"/>
    <x v="3"/>
    <n v="40"/>
    <n v="0"/>
    <n v="40"/>
    <n v="0"/>
  </r>
  <r>
    <s v="Back-office web"/>
    <s v="Dashboard Admin"/>
    <s v="dashboard"/>
    <s v="Stats utilisateurs et signalements"/>
    <s v="Composant"/>
    <x v="0"/>
    <n v="45"/>
    <n v="0"/>
    <n v="45"/>
    <n v="0"/>
  </r>
  <r>
    <s v="Back-office web"/>
    <s v="Dashboard Admin"/>
    <s v="dashboard"/>
    <s v="Logs de synchronisation visibles"/>
    <s v="Composant"/>
    <x v="2"/>
    <n v="35"/>
    <n v="0"/>
    <n v="35"/>
    <n v="0"/>
  </r>
  <r>
    <s v="Back-office web"/>
    <s v="Backend"/>
    <m/>
    <s v="Tests unitaires API auth (Jest)"/>
    <s v="Test"/>
    <x v="2"/>
    <n v="45"/>
    <n v="0"/>
    <n v="45"/>
    <n v="0"/>
  </r>
  <r>
    <s v="Back-office web"/>
    <s v="Backend"/>
    <m/>
    <s v="Tests integration PostgreSQL"/>
    <s v="Test"/>
    <x v="1"/>
    <n v="40"/>
    <n v="0"/>
    <n v="40"/>
    <n v="0"/>
  </r>
  <r>
    <s v="Back-office web"/>
    <s v="Frontend Web"/>
    <m/>
    <s v="Tests composants Angular (Jasmine/Karma)"/>
    <s v="Test"/>
    <x v="3"/>
    <n v="45"/>
    <n v="0"/>
    <n v="45"/>
    <n v="0"/>
  </r>
  <r>
    <s v="Back-office web"/>
    <s v="Frontend Web"/>
    <m/>
    <s v="Tests E2E avec Cypress"/>
    <s v="Test"/>
    <x v="0"/>
    <n v="60"/>
    <n v="0"/>
    <n v="60"/>
    <n v="0"/>
  </r>
  <r>
    <s v="Back-office web"/>
    <s v="Mobile"/>
    <m/>
    <s v="Tests unitaires Vue.js (Jest)"/>
    <s v="Test"/>
    <x v="2"/>
    <n v="40"/>
    <n v="0"/>
    <n v="40"/>
    <n v="0"/>
  </r>
  <r>
    <s v="Back-office web"/>
    <s v="Mobile"/>
    <m/>
    <s v="Tests offline (simulation hors connexion)"/>
    <s v="Test"/>
    <x v="1"/>
    <n v="30"/>
    <n v="0"/>
    <n v="30"/>
    <n v="0"/>
  </r>
  <r>
    <s v="Back-office web"/>
    <s v="Technique"/>
    <m/>
    <s v="MCD PostgreSQL detaille"/>
    <s v="Documentation"/>
    <x v="3"/>
    <n v="40"/>
    <n v="0"/>
    <n v="40"/>
    <n v="0"/>
  </r>
  <r>
    <s v="Back-office web"/>
    <s v="Technique"/>
    <m/>
    <s v="Diagramme architecture complete"/>
    <s v="Documentation"/>
    <x v="0"/>
    <n v="45"/>
    <n v="45"/>
    <n v="0"/>
    <n v="1"/>
  </r>
  <r>
    <s v="Back-office web"/>
    <s v="Technique"/>
    <m/>
    <s v="Documentation API avec Swagger"/>
    <s v="Documentation"/>
    <x v="2"/>
    <n v="60"/>
    <n v="60"/>
    <n v="0"/>
    <n v="1"/>
  </r>
  <r>
    <s v="Back-office web"/>
    <s v="Utilisateur"/>
    <m/>
    <s v="Guide deploiement Docker + captures ecrans"/>
    <s v="Documentation"/>
    <x v="1"/>
    <n v="45"/>
    <n v="0"/>
    <n v="45"/>
    <n v="0"/>
  </r>
  <r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8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x="1"/>
        <item x="2"/>
        <item x="0"/>
        <item x="3"/>
        <item x="4"/>
        <item t="default"/>
      </items>
    </pivotField>
    <pivotField name="Estimation (min)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 (min)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baseColWidth="10" defaultColWidth="12.6640625" defaultRowHeight="15.75" customHeight="1" x14ac:dyDescent="0.25"/>
  <cols>
    <col min="2" max="2" width="30.8867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K70"/>
  <sheetViews>
    <sheetView workbookViewId="0"/>
  </sheetViews>
  <sheetFormatPr baseColWidth="10" defaultColWidth="12.6640625" defaultRowHeight="15.75" customHeight="1" x14ac:dyDescent="0.25"/>
  <cols>
    <col min="2" max="2" width="19" customWidth="1"/>
    <col min="3" max="3" width="18" customWidth="1"/>
    <col min="4" max="4" width="14.44140625" customWidth="1"/>
    <col min="5" max="5" width="46.44140625" customWidth="1"/>
    <col min="6" max="6" width="14" customWidth="1"/>
    <col min="7" max="7" width="9.88671875" customWidth="1"/>
    <col min="8" max="8" width="14" customWidth="1"/>
  </cols>
  <sheetData>
    <row r="1" spans="1:1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ht="15.75" customHeight="1" x14ac:dyDescent="0.3">
      <c r="A2" s="3">
        <v>1</v>
      </c>
      <c r="B2" s="4" t="s">
        <v>19</v>
      </c>
      <c r="C2" s="4" t="s">
        <v>20</v>
      </c>
      <c r="D2" s="4"/>
      <c r="E2" s="4" t="s">
        <v>21</v>
      </c>
      <c r="F2" s="4" t="s">
        <v>22</v>
      </c>
      <c r="G2" s="4" t="s">
        <v>4</v>
      </c>
      <c r="H2" s="5">
        <v>45</v>
      </c>
      <c r="I2" s="5">
        <v>45</v>
      </c>
      <c r="J2" s="5">
        <f t="shared" ref="J2:J50" si="0">H2-I2</f>
        <v>0</v>
      </c>
      <c r="K2" s="6">
        <f t="shared" ref="K2:K70" si="1">I2/(I2+J2)</f>
        <v>1</v>
      </c>
    </row>
    <row r="3" spans="1:11" ht="15.75" customHeight="1" x14ac:dyDescent="0.3">
      <c r="A3" s="3">
        <v>2</v>
      </c>
      <c r="B3" s="4" t="s">
        <v>19</v>
      </c>
      <c r="C3" s="4" t="s">
        <v>20</v>
      </c>
      <c r="D3" s="4"/>
      <c r="E3" s="4" t="s">
        <v>23</v>
      </c>
      <c r="F3" s="4" t="s">
        <v>24</v>
      </c>
      <c r="G3" s="4" t="s">
        <v>0</v>
      </c>
      <c r="H3" s="5">
        <v>60</v>
      </c>
      <c r="I3" s="5">
        <v>30</v>
      </c>
      <c r="J3" s="5">
        <f t="shared" si="0"/>
        <v>30</v>
      </c>
      <c r="K3" s="6">
        <f t="shared" si="1"/>
        <v>0.5</v>
      </c>
    </row>
    <row r="4" spans="1:11" ht="15.75" customHeight="1" x14ac:dyDescent="0.3">
      <c r="A4" s="3">
        <v>3</v>
      </c>
      <c r="B4" s="4" t="s">
        <v>19</v>
      </c>
      <c r="C4" s="4" t="s">
        <v>25</v>
      </c>
      <c r="D4" s="4"/>
      <c r="E4" s="4" t="s">
        <v>26</v>
      </c>
      <c r="F4" s="4" t="s">
        <v>27</v>
      </c>
      <c r="G4" s="4" t="s">
        <v>0</v>
      </c>
      <c r="H4" s="5">
        <v>60</v>
      </c>
      <c r="I4" s="5">
        <v>60</v>
      </c>
      <c r="J4" s="5">
        <f t="shared" si="0"/>
        <v>0</v>
      </c>
      <c r="K4" s="6">
        <f t="shared" si="1"/>
        <v>1</v>
      </c>
    </row>
    <row r="5" spans="1:11" ht="15.75" customHeight="1" x14ac:dyDescent="0.3">
      <c r="A5" s="3">
        <v>4</v>
      </c>
      <c r="B5" s="4" t="s">
        <v>19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4</v>
      </c>
      <c r="H5" s="5">
        <v>80</v>
      </c>
      <c r="I5" s="5">
        <v>80</v>
      </c>
      <c r="J5" s="5">
        <f t="shared" si="0"/>
        <v>0</v>
      </c>
      <c r="K5" s="6">
        <f t="shared" si="1"/>
        <v>1</v>
      </c>
    </row>
    <row r="6" spans="1:11" ht="15.75" customHeight="1" x14ac:dyDescent="0.3">
      <c r="A6" s="3">
        <v>5</v>
      </c>
      <c r="B6" s="4" t="s">
        <v>19</v>
      </c>
      <c r="C6" s="4" t="s">
        <v>28</v>
      </c>
      <c r="D6" s="4" t="s">
        <v>29</v>
      </c>
      <c r="E6" s="4" t="s">
        <v>32</v>
      </c>
      <c r="F6" s="4" t="s">
        <v>31</v>
      </c>
      <c r="G6" s="4" t="s">
        <v>2</v>
      </c>
      <c r="H6" s="5">
        <v>40</v>
      </c>
      <c r="I6" s="5">
        <v>30</v>
      </c>
      <c r="J6" s="5">
        <f t="shared" si="0"/>
        <v>10</v>
      </c>
      <c r="K6" s="6">
        <f t="shared" si="1"/>
        <v>0.75</v>
      </c>
    </row>
    <row r="7" spans="1:11" ht="15.75" customHeight="1" x14ac:dyDescent="0.3">
      <c r="A7" s="3">
        <v>6</v>
      </c>
      <c r="B7" s="4" t="s">
        <v>19</v>
      </c>
      <c r="C7" s="4" t="s">
        <v>28</v>
      </c>
      <c r="D7" s="4" t="s">
        <v>29</v>
      </c>
      <c r="E7" s="4" t="s">
        <v>33</v>
      </c>
      <c r="F7" s="4" t="s">
        <v>31</v>
      </c>
      <c r="G7" s="4" t="s">
        <v>0</v>
      </c>
      <c r="H7" s="5">
        <v>50</v>
      </c>
      <c r="I7" s="5">
        <v>30</v>
      </c>
      <c r="J7" s="5">
        <f t="shared" si="0"/>
        <v>20</v>
      </c>
      <c r="K7" s="6">
        <f t="shared" si="1"/>
        <v>0.6</v>
      </c>
    </row>
    <row r="8" spans="1:11" ht="15.75" customHeight="1" x14ac:dyDescent="0.3">
      <c r="A8" s="3">
        <v>7</v>
      </c>
      <c r="B8" s="4" t="s">
        <v>19</v>
      </c>
      <c r="C8" s="4" t="s">
        <v>34</v>
      </c>
      <c r="D8" s="4"/>
      <c r="E8" s="4" t="s">
        <v>35</v>
      </c>
      <c r="F8" s="4" t="s">
        <v>22</v>
      </c>
      <c r="G8" s="4" t="s">
        <v>6</v>
      </c>
      <c r="H8" s="5">
        <v>60</v>
      </c>
      <c r="I8" s="5">
        <v>0</v>
      </c>
      <c r="J8" s="5">
        <f t="shared" si="0"/>
        <v>60</v>
      </c>
      <c r="K8" s="6">
        <f t="shared" si="1"/>
        <v>0</v>
      </c>
    </row>
    <row r="9" spans="1:11" ht="15.75" customHeight="1" x14ac:dyDescent="0.3">
      <c r="A9" s="3">
        <v>8</v>
      </c>
      <c r="B9" s="4" t="s">
        <v>19</v>
      </c>
      <c r="C9" s="4" t="s">
        <v>36</v>
      </c>
      <c r="D9" s="4"/>
      <c r="E9" s="4" t="s">
        <v>37</v>
      </c>
      <c r="F9" s="4" t="s">
        <v>31</v>
      </c>
      <c r="G9" s="4" t="s">
        <v>6</v>
      </c>
      <c r="H9" s="5">
        <v>60</v>
      </c>
      <c r="I9" s="5">
        <v>60</v>
      </c>
      <c r="J9" s="5">
        <f t="shared" si="0"/>
        <v>0</v>
      </c>
      <c r="K9" s="6">
        <f t="shared" si="1"/>
        <v>1</v>
      </c>
    </row>
    <row r="10" spans="1:11" ht="15.75" customHeight="1" x14ac:dyDescent="0.3">
      <c r="A10" s="3">
        <v>9</v>
      </c>
      <c r="B10" s="4" t="s">
        <v>19</v>
      </c>
      <c r="C10" s="4" t="s">
        <v>36</v>
      </c>
      <c r="D10" s="4" t="s">
        <v>29</v>
      </c>
      <c r="E10" s="4" t="s">
        <v>38</v>
      </c>
      <c r="F10" s="4" t="s">
        <v>31</v>
      </c>
      <c r="G10" s="4" t="s">
        <v>4</v>
      </c>
      <c r="H10" s="5">
        <v>45</v>
      </c>
      <c r="I10" s="5">
        <v>0</v>
      </c>
      <c r="J10" s="5">
        <f t="shared" si="0"/>
        <v>45</v>
      </c>
      <c r="K10" s="6">
        <f t="shared" si="1"/>
        <v>0</v>
      </c>
    </row>
    <row r="11" spans="1:11" ht="15.75" customHeight="1" x14ac:dyDescent="0.3">
      <c r="A11" s="3">
        <v>10</v>
      </c>
      <c r="B11" s="4" t="s">
        <v>39</v>
      </c>
      <c r="C11" s="4" t="s">
        <v>40</v>
      </c>
      <c r="D11" s="4"/>
      <c r="E11" s="4" t="s">
        <v>41</v>
      </c>
      <c r="F11" s="4" t="s">
        <v>22</v>
      </c>
      <c r="G11" s="4" t="s">
        <v>2</v>
      </c>
      <c r="H11" s="5">
        <v>30</v>
      </c>
      <c r="I11" s="5">
        <v>30</v>
      </c>
      <c r="J11" s="5">
        <f t="shared" si="0"/>
        <v>0</v>
      </c>
      <c r="K11" s="6">
        <f t="shared" si="1"/>
        <v>1</v>
      </c>
    </row>
    <row r="12" spans="1:11" ht="15.75" customHeight="1" x14ac:dyDescent="0.3">
      <c r="A12" s="3">
        <v>11</v>
      </c>
      <c r="B12" s="4" t="s">
        <v>39</v>
      </c>
      <c r="C12" s="4" t="s">
        <v>40</v>
      </c>
      <c r="D12" s="4"/>
      <c r="E12" s="4" t="s">
        <v>42</v>
      </c>
      <c r="F12" s="4" t="s">
        <v>43</v>
      </c>
      <c r="G12" s="4" t="s">
        <v>6</v>
      </c>
      <c r="H12" s="5">
        <v>30</v>
      </c>
      <c r="I12" s="5">
        <v>30</v>
      </c>
      <c r="J12" s="5">
        <f t="shared" si="0"/>
        <v>0</v>
      </c>
      <c r="K12" s="6">
        <f t="shared" si="1"/>
        <v>1</v>
      </c>
    </row>
    <row r="13" spans="1:11" ht="15.75" customHeight="1" x14ac:dyDescent="0.3">
      <c r="A13" s="3">
        <v>12</v>
      </c>
      <c r="B13" s="4" t="s">
        <v>39</v>
      </c>
      <c r="C13" s="4" t="s">
        <v>40</v>
      </c>
      <c r="D13" s="4"/>
      <c r="E13" s="4" t="s">
        <v>44</v>
      </c>
      <c r="F13" s="4" t="s">
        <v>45</v>
      </c>
      <c r="G13" s="4" t="s">
        <v>6</v>
      </c>
      <c r="H13" s="5">
        <v>30</v>
      </c>
      <c r="I13" s="5">
        <v>0</v>
      </c>
      <c r="J13" s="5">
        <f t="shared" si="0"/>
        <v>30</v>
      </c>
      <c r="K13" s="6">
        <f t="shared" si="1"/>
        <v>0</v>
      </c>
    </row>
    <row r="14" spans="1:11" ht="15.75" customHeight="1" x14ac:dyDescent="0.3">
      <c r="A14" s="3">
        <v>13</v>
      </c>
      <c r="B14" s="4" t="s">
        <v>39</v>
      </c>
      <c r="C14" s="4" t="s">
        <v>34</v>
      </c>
      <c r="D14" s="4"/>
      <c r="E14" s="4" t="s">
        <v>46</v>
      </c>
      <c r="F14" s="4" t="s">
        <v>22</v>
      </c>
      <c r="G14" s="4" t="s">
        <v>4</v>
      </c>
      <c r="H14" s="5">
        <v>35</v>
      </c>
      <c r="I14" s="5">
        <v>0</v>
      </c>
      <c r="J14" s="5">
        <f t="shared" si="0"/>
        <v>35</v>
      </c>
      <c r="K14" s="6">
        <f t="shared" si="1"/>
        <v>0</v>
      </c>
    </row>
    <row r="15" spans="1:11" ht="15.75" customHeight="1" x14ac:dyDescent="0.3">
      <c r="A15" s="3">
        <v>14</v>
      </c>
      <c r="B15" s="4" t="s">
        <v>39</v>
      </c>
      <c r="C15" s="4" t="s">
        <v>34</v>
      </c>
      <c r="D15" s="4"/>
      <c r="E15" s="4" t="s">
        <v>47</v>
      </c>
      <c r="F15" s="4" t="s">
        <v>22</v>
      </c>
      <c r="G15" s="4" t="s">
        <v>2</v>
      </c>
      <c r="H15" s="5">
        <v>30</v>
      </c>
      <c r="I15" s="5">
        <v>0</v>
      </c>
      <c r="J15" s="5">
        <f t="shared" si="0"/>
        <v>30</v>
      </c>
      <c r="K15" s="6">
        <f t="shared" si="1"/>
        <v>0</v>
      </c>
    </row>
    <row r="16" spans="1:11" ht="15.75" customHeight="1" x14ac:dyDescent="0.3">
      <c r="A16" s="3">
        <v>15</v>
      </c>
      <c r="B16" s="4" t="s">
        <v>39</v>
      </c>
      <c r="C16" s="4" t="s">
        <v>48</v>
      </c>
      <c r="D16" s="4" t="s">
        <v>49</v>
      </c>
      <c r="E16" s="4" t="s">
        <v>50</v>
      </c>
      <c r="F16" s="4" t="s">
        <v>31</v>
      </c>
      <c r="G16" s="4" t="s">
        <v>0</v>
      </c>
      <c r="H16" s="5">
        <v>40</v>
      </c>
      <c r="I16" s="5">
        <v>40</v>
      </c>
      <c r="J16" s="5">
        <f t="shared" si="0"/>
        <v>0</v>
      </c>
      <c r="K16" s="6">
        <f t="shared" si="1"/>
        <v>1</v>
      </c>
    </row>
    <row r="17" spans="1:11" ht="15.75" customHeight="1" x14ac:dyDescent="0.3">
      <c r="A17" s="3">
        <v>16</v>
      </c>
      <c r="B17" s="4" t="s">
        <v>39</v>
      </c>
      <c r="C17" s="4" t="s">
        <v>48</v>
      </c>
      <c r="D17" s="4"/>
      <c r="E17" s="4" t="s">
        <v>51</v>
      </c>
      <c r="F17" s="4" t="s">
        <v>31</v>
      </c>
      <c r="G17" s="4" t="s">
        <v>6</v>
      </c>
      <c r="H17" s="5">
        <v>25</v>
      </c>
      <c r="I17" s="5">
        <v>0</v>
      </c>
      <c r="J17" s="5">
        <f t="shared" si="0"/>
        <v>25</v>
      </c>
      <c r="K17" s="6">
        <f t="shared" si="1"/>
        <v>0</v>
      </c>
    </row>
    <row r="18" spans="1:11" ht="15.75" customHeight="1" x14ac:dyDescent="0.3">
      <c r="A18" s="3">
        <v>17</v>
      </c>
      <c r="B18" s="4" t="s">
        <v>39</v>
      </c>
      <c r="C18" s="4" t="s">
        <v>48</v>
      </c>
      <c r="D18" s="4"/>
      <c r="E18" s="4" t="s">
        <v>52</v>
      </c>
      <c r="F18" s="4" t="s">
        <v>31</v>
      </c>
      <c r="G18" s="4" t="s">
        <v>4</v>
      </c>
      <c r="H18" s="5">
        <v>20</v>
      </c>
      <c r="I18" s="5">
        <v>0</v>
      </c>
      <c r="J18" s="5">
        <f t="shared" si="0"/>
        <v>20</v>
      </c>
      <c r="K18" s="6">
        <f t="shared" si="1"/>
        <v>0</v>
      </c>
    </row>
    <row r="19" spans="1:11" ht="15.75" customHeight="1" x14ac:dyDescent="0.3">
      <c r="A19" s="3">
        <v>18</v>
      </c>
      <c r="B19" s="4" t="s">
        <v>39</v>
      </c>
      <c r="C19" s="4" t="s">
        <v>53</v>
      </c>
      <c r="D19" s="4"/>
      <c r="E19" s="4" t="s">
        <v>54</v>
      </c>
      <c r="F19" s="4" t="s">
        <v>55</v>
      </c>
      <c r="G19" s="4" t="s">
        <v>2</v>
      </c>
      <c r="H19" s="5">
        <v>35</v>
      </c>
      <c r="I19" s="5">
        <v>35</v>
      </c>
      <c r="J19" s="5">
        <f t="shared" si="0"/>
        <v>0</v>
      </c>
      <c r="K19" s="6">
        <f t="shared" si="1"/>
        <v>1</v>
      </c>
    </row>
    <row r="20" spans="1:11" ht="15.75" customHeight="1" x14ac:dyDescent="0.3">
      <c r="A20" s="3">
        <v>19</v>
      </c>
      <c r="B20" s="4" t="s">
        <v>39</v>
      </c>
      <c r="C20" s="4" t="s">
        <v>53</v>
      </c>
      <c r="D20" s="4"/>
      <c r="E20" s="4" t="s">
        <v>56</v>
      </c>
      <c r="F20" s="4" t="s">
        <v>55</v>
      </c>
      <c r="G20" s="4" t="s">
        <v>0</v>
      </c>
      <c r="H20" s="5">
        <v>20</v>
      </c>
      <c r="I20" s="5">
        <v>0</v>
      </c>
      <c r="J20" s="5">
        <f t="shared" si="0"/>
        <v>20</v>
      </c>
      <c r="K20" s="6">
        <f t="shared" si="1"/>
        <v>0</v>
      </c>
    </row>
    <row r="21" spans="1:11" ht="15.75" customHeight="1" x14ac:dyDescent="0.3">
      <c r="A21" s="3">
        <v>20</v>
      </c>
      <c r="B21" s="4" t="s">
        <v>39</v>
      </c>
      <c r="C21" s="4" t="s">
        <v>57</v>
      </c>
      <c r="D21" s="4" t="s">
        <v>29</v>
      </c>
      <c r="E21" s="4" t="s">
        <v>58</v>
      </c>
      <c r="F21" s="4" t="s">
        <v>31</v>
      </c>
      <c r="G21" s="4" t="s">
        <v>2</v>
      </c>
      <c r="H21" s="5">
        <v>60</v>
      </c>
      <c r="I21" s="5">
        <v>0</v>
      </c>
      <c r="J21" s="5">
        <f t="shared" si="0"/>
        <v>60</v>
      </c>
      <c r="K21" s="6">
        <f t="shared" si="1"/>
        <v>0</v>
      </c>
    </row>
    <row r="22" spans="1:11" ht="15.75" customHeight="1" x14ac:dyDescent="0.3">
      <c r="A22" s="3">
        <v>21</v>
      </c>
      <c r="B22" s="4" t="s">
        <v>39</v>
      </c>
      <c r="C22" s="4" t="s">
        <v>57</v>
      </c>
      <c r="D22" s="4" t="s">
        <v>29</v>
      </c>
      <c r="E22" s="4" t="s">
        <v>59</v>
      </c>
      <c r="F22" s="4" t="s">
        <v>31</v>
      </c>
      <c r="G22" s="4" t="s">
        <v>0</v>
      </c>
      <c r="H22" s="5">
        <v>40</v>
      </c>
      <c r="I22" s="5">
        <v>0</v>
      </c>
      <c r="J22" s="5">
        <f t="shared" si="0"/>
        <v>40</v>
      </c>
      <c r="K22" s="6">
        <f t="shared" si="1"/>
        <v>0</v>
      </c>
    </row>
    <row r="23" spans="1:11" ht="15.75" customHeight="1" x14ac:dyDescent="0.3">
      <c r="A23" s="3">
        <v>22</v>
      </c>
      <c r="B23" s="4" t="s">
        <v>39</v>
      </c>
      <c r="C23" s="4" t="s">
        <v>57</v>
      </c>
      <c r="D23" s="4" t="s">
        <v>29</v>
      </c>
      <c r="E23" s="4" t="s">
        <v>60</v>
      </c>
      <c r="F23" s="4" t="s">
        <v>55</v>
      </c>
      <c r="G23" s="4" t="s">
        <v>2</v>
      </c>
      <c r="H23" s="5">
        <v>40</v>
      </c>
      <c r="I23" s="5">
        <v>0</v>
      </c>
      <c r="J23" s="5">
        <f t="shared" si="0"/>
        <v>40</v>
      </c>
      <c r="K23" s="6">
        <f t="shared" si="1"/>
        <v>0</v>
      </c>
    </row>
    <row r="24" spans="1:11" ht="15.75" customHeight="1" x14ac:dyDescent="0.3">
      <c r="A24" s="3">
        <v>23</v>
      </c>
      <c r="B24" s="4" t="s">
        <v>39</v>
      </c>
      <c r="C24" s="4" t="s">
        <v>61</v>
      </c>
      <c r="D24" s="4"/>
      <c r="E24" s="4" t="s">
        <v>62</v>
      </c>
      <c r="F24" s="4" t="s">
        <v>31</v>
      </c>
      <c r="G24" s="4" t="s">
        <v>4</v>
      </c>
      <c r="H24" s="5">
        <v>45</v>
      </c>
      <c r="I24" s="5">
        <v>0</v>
      </c>
      <c r="J24" s="5">
        <f t="shared" si="0"/>
        <v>45</v>
      </c>
      <c r="K24" s="6">
        <f t="shared" si="1"/>
        <v>0</v>
      </c>
    </row>
    <row r="25" spans="1:11" ht="15.75" customHeight="1" x14ac:dyDescent="0.3">
      <c r="A25" s="3">
        <v>24</v>
      </c>
      <c r="B25" s="4" t="s">
        <v>39</v>
      </c>
      <c r="C25" s="4" t="s">
        <v>61</v>
      </c>
      <c r="D25" s="4"/>
      <c r="E25" s="4" t="s">
        <v>63</v>
      </c>
      <c r="F25" s="4" t="s">
        <v>55</v>
      </c>
      <c r="G25" s="4" t="s">
        <v>2</v>
      </c>
      <c r="H25" s="5">
        <v>30</v>
      </c>
      <c r="I25" s="5">
        <v>0</v>
      </c>
      <c r="J25" s="5">
        <f t="shared" si="0"/>
        <v>30</v>
      </c>
      <c r="K25" s="6">
        <f t="shared" si="1"/>
        <v>0</v>
      </c>
    </row>
    <row r="26" spans="1:11" ht="15.75" customHeight="1" x14ac:dyDescent="0.3">
      <c r="A26" s="3">
        <v>25</v>
      </c>
      <c r="B26" s="4" t="s">
        <v>39</v>
      </c>
      <c r="C26" s="4" t="s">
        <v>61</v>
      </c>
      <c r="D26" s="4"/>
      <c r="E26" s="4" t="s">
        <v>64</v>
      </c>
      <c r="F26" s="4" t="s">
        <v>55</v>
      </c>
      <c r="G26" s="4" t="s">
        <v>0</v>
      </c>
      <c r="H26" s="5">
        <v>30</v>
      </c>
      <c r="I26" s="5">
        <v>0</v>
      </c>
      <c r="J26" s="5">
        <f t="shared" si="0"/>
        <v>30</v>
      </c>
      <c r="K26" s="6">
        <f t="shared" si="1"/>
        <v>0</v>
      </c>
    </row>
    <row r="27" spans="1:11" ht="15.75" customHeight="1" x14ac:dyDescent="0.3">
      <c r="A27" s="3">
        <v>26</v>
      </c>
      <c r="B27" s="4" t="s">
        <v>65</v>
      </c>
      <c r="C27" s="4" t="s">
        <v>66</v>
      </c>
      <c r="D27" s="4"/>
      <c r="E27" s="4" t="s">
        <v>67</v>
      </c>
      <c r="F27" s="4" t="s">
        <v>22</v>
      </c>
      <c r="G27" s="4" t="s">
        <v>0</v>
      </c>
      <c r="H27" s="5">
        <v>60</v>
      </c>
      <c r="I27" s="5">
        <v>30</v>
      </c>
      <c r="J27" s="5">
        <f t="shared" si="0"/>
        <v>30</v>
      </c>
      <c r="K27" s="6">
        <f t="shared" si="1"/>
        <v>0.5</v>
      </c>
    </row>
    <row r="28" spans="1:11" ht="15.75" customHeight="1" x14ac:dyDescent="0.3">
      <c r="A28" s="3">
        <v>27</v>
      </c>
      <c r="B28" s="4" t="s">
        <v>65</v>
      </c>
      <c r="C28" s="4" t="s">
        <v>66</v>
      </c>
      <c r="D28" s="4"/>
      <c r="E28" s="4" t="s">
        <v>68</v>
      </c>
      <c r="F28" s="4" t="s">
        <v>22</v>
      </c>
      <c r="G28" s="4" t="s">
        <v>6</v>
      </c>
      <c r="H28" s="5">
        <v>30</v>
      </c>
      <c r="I28" s="5">
        <v>30</v>
      </c>
      <c r="J28" s="5">
        <f t="shared" si="0"/>
        <v>0</v>
      </c>
      <c r="K28" s="6">
        <f t="shared" si="1"/>
        <v>1</v>
      </c>
    </row>
    <row r="29" spans="1:11" ht="15.75" customHeight="1" x14ac:dyDescent="0.3">
      <c r="A29" s="3">
        <v>28</v>
      </c>
      <c r="B29" s="4" t="s">
        <v>65</v>
      </c>
      <c r="C29" s="4" t="s">
        <v>69</v>
      </c>
      <c r="D29" s="4"/>
      <c r="E29" s="4" t="s">
        <v>70</v>
      </c>
      <c r="F29" s="4" t="s">
        <v>45</v>
      </c>
      <c r="G29" s="4" t="s">
        <v>4</v>
      </c>
      <c r="H29" s="5">
        <v>50</v>
      </c>
      <c r="I29" s="5">
        <v>50</v>
      </c>
      <c r="J29" s="5">
        <f t="shared" si="0"/>
        <v>0</v>
      </c>
      <c r="K29" s="6">
        <f t="shared" si="1"/>
        <v>1</v>
      </c>
    </row>
    <row r="30" spans="1:11" ht="14.4" x14ac:dyDescent="0.3">
      <c r="A30" s="3">
        <v>29</v>
      </c>
      <c r="B30" s="4" t="s">
        <v>65</v>
      </c>
      <c r="C30" s="4" t="s">
        <v>69</v>
      </c>
      <c r="D30" s="4"/>
      <c r="E30" s="4" t="s">
        <v>71</v>
      </c>
      <c r="F30" s="4" t="s">
        <v>45</v>
      </c>
      <c r="G30" s="4" t="s">
        <v>0</v>
      </c>
      <c r="H30" s="5">
        <v>45</v>
      </c>
      <c r="I30" s="5">
        <v>45</v>
      </c>
      <c r="J30" s="5">
        <f t="shared" si="0"/>
        <v>0</v>
      </c>
      <c r="K30" s="6">
        <f t="shared" si="1"/>
        <v>1</v>
      </c>
    </row>
    <row r="31" spans="1:11" ht="14.4" x14ac:dyDescent="0.3">
      <c r="A31" s="3">
        <v>30</v>
      </c>
      <c r="B31" s="4" t="s">
        <v>65</v>
      </c>
      <c r="C31" s="4" t="s">
        <v>72</v>
      </c>
      <c r="D31" s="4"/>
      <c r="E31" s="4" t="s">
        <v>73</v>
      </c>
      <c r="F31" s="4" t="s">
        <v>74</v>
      </c>
      <c r="G31" s="4" t="s">
        <v>4</v>
      </c>
      <c r="H31" s="5">
        <v>30</v>
      </c>
      <c r="I31" s="5">
        <v>0</v>
      </c>
      <c r="J31" s="5">
        <f t="shared" si="0"/>
        <v>30</v>
      </c>
      <c r="K31" s="6">
        <f t="shared" si="1"/>
        <v>0</v>
      </c>
    </row>
    <row r="32" spans="1:11" ht="14.4" x14ac:dyDescent="0.3">
      <c r="A32" s="3">
        <v>31</v>
      </c>
      <c r="B32" s="4" t="s">
        <v>65</v>
      </c>
      <c r="C32" s="4" t="s">
        <v>72</v>
      </c>
      <c r="D32" s="4" t="s">
        <v>75</v>
      </c>
      <c r="E32" s="4" t="s">
        <v>76</v>
      </c>
      <c r="F32" s="4" t="s">
        <v>74</v>
      </c>
      <c r="G32" s="4" t="s">
        <v>2</v>
      </c>
      <c r="H32" s="5">
        <v>40</v>
      </c>
      <c r="I32" s="5">
        <v>0</v>
      </c>
      <c r="J32" s="5">
        <f t="shared" si="0"/>
        <v>40</v>
      </c>
      <c r="K32" s="6">
        <f t="shared" si="1"/>
        <v>0</v>
      </c>
    </row>
    <row r="33" spans="1:11" ht="14.4" x14ac:dyDescent="0.3">
      <c r="A33" s="3">
        <v>32</v>
      </c>
      <c r="B33" s="4" t="s">
        <v>65</v>
      </c>
      <c r="C33" s="4" t="s">
        <v>72</v>
      </c>
      <c r="D33" s="4" t="s">
        <v>49</v>
      </c>
      <c r="E33" s="4" t="s">
        <v>77</v>
      </c>
      <c r="F33" s="4" t="s">
        <v>74</v>
      </c>
      <c r="G33" s="4" t="s">
        <v>0</v>
      </c>
      <c r="H33" s="5">
        <v>45</v>
      </c>
      <c r="I33" s="5">
        <v>45</v>
      </c>
      <c r="J33" s="5">
        <f t="shared" si="0"/>
        <v>0</v>
      </c>
      <c r="K33" s="6">
        <f t="shared" si="1"/>
        <v>1</v>
      </c>
    </row>
    <row r="34" spans="1:11" ht="14.4" x14ac:dyDescent="0.3">
      <c r="A34" s="3">
        <v>33</v>
      </c>
      <c r="B34" s="4" t="s">
        <v>65</v>
      </c>
      <c r="C34" s="4" t="s">
        <v>72</v>
      </c>
      <c r="D34" s="4" t="s">
        <v>49</v>
      </c>
      <c r="E34" s="4" t="s">
        <v>78</v>
      </c>
      <c r="F34" s="4" t="s">
        <v>74</v>
      </c>
      <c r="G34" s="4" t="s">
        <v>0</v>
      </c>
      <c r="H34" s="5">
        <v>15</v>
      </c>
      <c r="I34" s="5">
        <v>15</v>
      </c>
      <c r="J34" s="5">
        <f t="shared" si="0"/>
        <v>0</v>
      </c>
      <c r="K34" s="6">
        <f t="shared" si="1"/>
        <v>1</v>
      </c>
    </row>
    <row r="35" spans="1:11" ht="14.4" x14ac:dyDescent="0.3">
      <c r="A35" s="3">
        <v>34</v>
      </c>
      <c r="B35" s="4" t="s">
        <v>65</v>
      </c>
      <c r="C35" s="4" t="s">
        <v>72</v>
      </c>
      <c r="D35" s="4" t="s">
        <v>49</v>
      </c>
      <c r="E35" s="4" t="s">
        <v>79</v>
      </c>
      <c r="F35" s="4" t="s">
        <v>74</v>
      </c>
      <c r="G35" s="4" t="s">
        <v>6</v>
      </c>
      <c r="H35" s="5">
        <v>30</v>
      </c>
      <c r="I35" s="5">
        <v>0</v>
      </c>
      <c r="J35" s="5">
        <f t="shared" si="0"/>
        <v>30</v>
      </c>
      <c r="K35" s="6">
        <f t="shared" si="1"/>
        <v>0</v>
      </c>
    </row>
    <row r="36" spans="1:11" ht="14.4" x14ac:dyDescent="0.3">
      <c r="A36" s="3">
        <v>35</v>
      </c>
      <c r="B36" s="4" t="s">
        <v>65</v>
      </c>
      <c r="C36" s="4" t="s">
        <v>72</v>
      </c>
      <c r="D36" s="4" t="s">
        <v>49</v>
      </c>
      <c r="E36" s="4" t="s">
        <v>80</v>
      </c>
      <c r="F36" s="4" t="s">
        <v>74</v>
      </c>
      <c r="G36" s="4" t="s">
        <v>4</v>
      </c>
      <c r="H36" s="5">
        <v>40</v>
      </c>
      <c r="I36" s="5">
        <v>0</v>
      </c>
      <c r="J36" s="5">
        <f t="shared" si="0"/>
        <v>40</v>
      </c>
      <c r="K36" s="6">
        <f t="shared" si="1"/>
        <v>0</v>
      </c>
    </row>
    <row r="37" spans="1:11" ht="14.4" x14ac:dyDescent="0.3">
      <c r="A37" s="3">
        <v>36</v>
      </c>
      <c r="B37" s="4" t="s">
        <v>65</v>
      </c>
      <c r="C37" s="4" t="s">
        <v>72</v>
      </c>
      <c r="D37" s="4" t="s">
        <v>81</v>
      </c>
      <c r="E37" s="4" t="s">
        <v>82</v>
      </c>
      <c r="F37" s="4" t="s">
        <v>74</v>
      </c>
      <c r="G37" s="4" t="s">
        <v>2</v>
      </c>
      <c r="H37" s="5">
        <v>30</v>
      </c>
      <c r="I37" s="5">
        <v>0</v>
      </c>
      <c r="J37" s="5">
        <f t="shared" si="0"/>
        <v>30</v>
      </c>
      <c r="K37" s="6">
        <f t="shared" si="1"/>
        <v>0</v>
      </c>
    </row>
    <row r="38" spans="1:11" ht="14.4" x14ac:dyDescent="0.3">
      <c r="A38" s="3">
        <v>37</v>
      </c>
      <c r="B38" s="4" t="s">
        <v>65</v>
      </c>
      <c r="C38" s="4" t="s">
        <v>53</v>
      </c>
      <c r="D38" s="4" t="s">
        <v>49</v>
      </c>
      <c r="E38" s="4" t="s">
        <v>83</v>
      </c>
      <c r="F38" s="4" t="s">
        <v>74</v>
      </c>
      <c r="G38" s="4" t="s">
        <v>0</v>
      </c>
      <c r="H38" s="5">
        <v>25</v>
      </c>
      <c r="I38" s="5">
        <v>0</v>
      </c>
      <c r="J38" s="5">
        <f t="shared" si="0"/>
        <v>25</v>
      </c>
      <c r="K38" s="6">
        <f t="shared" si="1"/>
        <v>0</v>
      </c>
    </row>
    <row r="39" spans="1:11" ht="14.4" x14ac:dyDescent="0.3">
      <c r="A39" s="3">
        <v>38</v>
      </c>
      <c r="B39" s="4" t="s">
        <v>65</v>
      </c>
      <c r="C39" s="4" t="s">
        <v>53</v>
      </c>
      <c r="D39" s="4" t="s">
        <v>49</v>
      </c>
      <c r="E39" s="4" t="s">
        <v>84</v>
      </c>
      <c r="F39" s="4" t="s">
        <v>74</v>
      </c>
      <c r="G39" s="4" t="s">
        <v>6</v>
      </c>
      <c r="H39" s="5">
        <v>30</v>
      </c>
      <c r="I39" s="5">
        <v>30</v>
      </c>
      <c r="J39" s="5">
        <f t="shared" si="0"/>
        <v>0</v>
      </c>
      <c r="K39" s="6">
        <f t="shared" si="1"/>
        <v>1</v>
      </c>
    </row>
    <row r="40" spans="1:11" ht="14.4" x14ac:dyDescent="0.3">
      <c r="A40" s="3">
        <v>39</v>
      </c>
      <c r="B40" s="4" t="s">
        <v>65</v>
      </c>
      <c r="C40" s="4" t="s">
        <v>53</v>
      </c>
      <c r="D40" s="4" t="s">
        <v>49</v>
      </c>
      <c r="E40" s="4" t="s">
        <v>85</v>
      </c>
      <c r="F40" s="4" t="s">
        <v>74</v>
      </c>
      <c r="G40" s="4" t="s">
        <v>4</v>
      </c>
      <c r="H40" s="5">
        <v>20</v>
      </c>
      <c r="I40" s="5">
        <v>20</v>
      </c>
      <c r="J40" s="5">
        <f t="shared" si="0"/>
        <v>0</v>
      </c>
      <c r="K40" s="6">
        <f t="shared" si="1"/>
        <v>1</v>
      </c>
    </row>
    <row r="41" spans="1:11" ht="14.4" x14ac:dyDescent="0.3">
      <c r="A41" s="3">
        <v>40</v>
      </c>
      <c r="B41" s="4" t="s">
        <v>65</v>
      </c>
      <c r="C41" s="4" t="s">
        <v>86</v>
      </c>
      <c r="D41" s="4" t="s">
        <v>29</v>
      </c>
      <c r="E41" s="4" t="s">
        <v>87</v>
      </c>
      <c r="F41" s="4" t="s">
        <v>74</v>
      </c>
      <c r="G41" s="4" t="s">
        <v>2</v>
      </c>
      <c r="H41" s="5">
        <v>40</v>
      </c>
      <c r="I41" s="5">
        <v>0</v>
      </c>
      <c r="J41" s="5">
        <f t="shared" si="0"/>
        <v>40</v>
      </c>
      <c r="K41" s="6">
        <f t="shared" si="1"/>
        <v>0</v>
      </c>
    </row>
    <row r="42" spans="1:11" ht="14.4" x14ac:dyDescent="0.3">
      <c r="A42" s="3">
        <v>41</v>
      </c>
      <c r="B42" s="4" t="s">
        <v>65</v>
      </c>
      <c r="C42" s="4" t="s">
        <v>86</v>
      </c>
      <c r="D42" s="4" t="s">
        <v>88</v>
      </c>
      <c r="E42" s="4" t="s">
        <v>89</v>
      </c>
      <c r="F42" s="4" t="s">
        <v>74</v>
      </c>
      <c r="G42" s="4" t="s">
        <v>0</v>
      </c>
      <c r="H42" s="5">
        <v>60</v>
      </c>
      <c r="I42" s="5">
        <v>0</v>
      </c>
      <c r="J42" s="5">
        <f t="shared" si="0"/>
        <v>60</v>
      </c>
      <c r="K42" s="6">
        <f t="shared" si="1"/>
        <v>0</v>
      </c>
    </row>
    <row r="43" spans="1:11" ht="14.4" x14ac:dyDescent="0.3">
      <c r="A43" s="3">
        <v>42</v>
      </c>
      <c r="B43" s="4" t="s">
        <v>65</v>
      </c>
      <c r="C43" s="4" t="s">
        <v>86</v>
      </c>
      <c r="D43" s="4" t="s">
        <v>29</v>
      </c>
      <c r="E43" s="4" t="s">
        <v>90</v>
      </c>
      <c r="F43" s="4" t="s">
        <v>74</v>
      </c>
      <c r="G43" s="4" t="s">
        <v>6</v>
      </c>
      <c r="H43" s="5">
        <v>30</v>
      </c>
      <c r="I43" s="5">
        <v>0</v>
      </c>
      <c r="J43" s="5">
        <f t="shared" si="0"/>
        <v>30</v>
      </c>
      <c r="K43" s="6">
        <f t="shared" si="1"/>
        <v>0</v>
      </c>
    </row>
    <row r="44" spans="1:11" ht="14.4" x14ac:dyDescent="0.3">
      <c r="A44" s="3">
        <v>43</v>
      </c>
      <c r="B44" s="4" t="s">
        <v>65</v>
      </c>
      <c r="C44" s="4" t="s">
        <v>86</v>
      </c>
      <c r="D44" s="4" t="s">
        <v>29</v>
      </c>
      <c r="E44" s="4" t="s">
        <v>91</v>
      </c>
      <c r="F44" s="4" t="s">
        <v>74</v>
      </c>
      <c r="G44" s="4" t="s">
        <v>4</v>
      </c>
      <c r="H44" s="5">
        <v>30</v>
      </c>
      <c r="I44" s="5">
        <v>0</v>
      </c>
      <c r="J44" s="5">
        <f t="shared" si="0"/>
        <v>30</v>
      </c>
      <c r="K44" s="6">
        <f t="shared" si="1"/>
        <v>0</v>
      </c>
    </row>
    <row r="45" spans="1:11" ht="14.4" x14ac:dyDescent="0.3">
      <c r="A45" s="3">
        <v>44</v>
      </c>
      <c r="B45" s="4" t="s">
        <v>65</v>
      </c>
      <c r="C45" s="4" t="s">
        <v>61</v>
      </c>
      <c r="D45" s="4" t="s">
        <v>29</v>
      </c>
      <c r="E45" s="4" t="s">
        <v>92</v>
      </c>
      <c r="F45" s="4" t="s">
        <v>74</v>
      </c>
      <c r="G45" s="4" t="s">
        <v>2</v>
      </c>
      <c r="H45" s="5">
        <v>60</v>
      </c>
      <c r="I45" s="5">
        <v>0</v>
      </c>
      <c r="J45" s="5">
        <f t="shared" si="0"/>
        <v>60</v>
      </c>
      <c r="K45" s="6">
        <f t="shared" si="1"/>
        <v>0</v>
      </c>
    </row>
    <row r="46" spans="1:11" ht="14.4" x14ac:dyDescent="0.3">
      <c r="A46" s="3">
        <v>45</v>
      </c>
      <c r="B46" s="4" t="s">
        <v>65</v>
      </c>
      <c r="C46" s="4" t="s">
        <v>61</v>
      </c>
      <c r="D46" s="4" t="s">
        <v>29</v>
      </c>
      <c r="E46" s="4" t="s">
        <v>93</v>
      </c>
      <c r="F46" s="4" t="s">
        <v>74</v>
      </c>
      <c r="G46" s="4" t="s">
        <v>0</v>
      </c>
      <c r="H46" s="5">
        <v>60</v>
      </c>
      <c r="I46" s="5">
        <v>0</v>
      </c>
      <c r="J46" s="5">
        <f t="shared" si="0"/>
        <v>60</v>
      </c>
      <c r="K46" s="6">
        <f t="shared" si="1"/>
        <v>0</v>
      </c>
    </row>
    <row r="47" spans="1:11" ht="14.4" x14ac:dyDescent="0.3">
      <c r="A47" s="3">
        <v>46</v>
      </c>
      <c r="B47" s="4" t="s">
        <v>65</v>
      </c>
      <c r="C47" s="4" t="s">
        <v>61</v>
      </c>
      <c r="D47" s="4"/>
      <c r="E47" s="4" t="s">
        <v>94</v>
      </c>
      <c r="F47" s="4" t="s">
        <v>74</v>
      </c>
      <c r="G47" s="4" t="s">
        <v>6</v>
      </c>
      <c r="H47" s="5">
        <v>40</v>
      </c>
      <c r="I47" s="5">
        <v>0</v>
      </c>
      <c r="J47" s="5">
        <f t="shared" si="0"/>
        <v>40</v>
      </c>
      <c r="K47" s="6">
        <f t="shared" si="1"/>
        <v>0</v>
      </c>
    </row>
    <row r="48" spans="1:11" ht="14.4" x14ac:dyDescent="0.3">
      <c r="A48" s="3">
        <v>47</v>
      </c>
      <c r="B48" s="4" t="s">
        <v>65</v>
      </c>
      <c r="C48" s="4" t="s">
        <v>40</v>
      </c>
      <c r="D48" s="4"/>
      <c r="E48" s="4" t="s">
        <v>95</v>
      </c>
      <c r="F48" s="4" t="s">
        <v>45</v>
      </c>
      <c r="G48" s="4" t="s">
        <v>6</v>
      </c>
      <c r="H48" s="5">
        <v>20</v>
      </c>
      <c r="I48" s="5">
        <v>15</v>
      </c>
      <c r="J48" s="5">
        <f t="shared" si="0"/>
        <v>5</v>
      </c>
      <c r="K48" s="6">
        <f t="shared" si="1"/>
        <v>0.75</v>
      </c>
    </row>
    <row r="49" spans="1:11" ht="14.4" x14ac:dyDescent="0.3">
      <c r="A49" s="3">
        <v>48</v>
      </c>
      <c r="B49" s="4" t="s">
        <v>65</v>
      </c>
      <c r="C49" s="4" t="s">
        <v>25</v>
      </c>
      <c r="D49" s="4"/>
      <c r="E49" s="4" t="s">
        <v>96</v>
      </c>
      <c r="F49" s="4" t="s">
        <v>97</v>
      </c>
      <c r="G49" s="4" t="s">
        <v>6</v>
      </c>
      <c r="H49" s="5">
        <v>45</v>
      </c>
      <c r="I49" s="5">
        <v>0</v>
      </c>
      <c r="J49" s="5">
        <f t="shared" si="0"/>
        <v>45</v>
      </c>
      <c r="K49" s="6">
        <f t="shared" si="1"/>
        <v>0</v>
      </c>
    </row>
    <row r="50" spans="1:11" ht="14.4" x14ac:dyDescent="0.3">
      <c r="A50" s="3">
        <v>49</v>
      </c>
      <c r="B50" s="4" t="s">
        <v>65</v>
      </c>
      <c r="C50" s="4" t="s">
        <v>98</v>
      </c>
      <c r="D50" s="4" t="s">
        <v>49</v>
      </c>
      <c r="E50" s="4" t="s">
        <v>99</v>
      </c>
      <c r="F50" s="4" t="s">
        <v>31</v>
      </c>
      <c r="G50" s="4" t="s">
        <v>4</v>
      </c>
      <c r="H50" s="5">
        <v>45</v>
      </c>
      <c r="I50" s="5">
        <v>0</v>
      </c>
      <c r="J50" s="5">
        <f t="shared" si="0"/>
        <v>45</v>
      </c>
      <c r="K50" s="6">
        <f t="shared" si="1"/>
        <v>0</v>
      </c>
    </row>
    <row r="51" spans="1:11" ht="14.4" x14ac:dyDescent="0.3">
      <c r="A51" s="3">
        <v>50</v>
      </c>
      <c r="B51" s="4" t="s">
        <v>65</v>
      </c>
      <c r="C51" s="4" t="s">
        <v>98</v>
      </c>
      <c r="D51" s="4" t="s">
        <v>75</v>
      </c>
      <c r="E51" s="4" t="s">
        <v>100</v>
      </c>
      <c r="F51" s="4" t="s">
        <v>31</v>
      </c>
      <c r="G51" s="4" t="s">
        <v>2</v>
      </c>
      <c r="H51" s="5">
        <v>50</v>
      </c>
      <c r="I51" s="5">
        <v>0</v>
      </c>
      <c r="J51" s="5">
        <v>50</v>
      </c>
      <c r="K51" s="6">
        <f t="shared" si="1"/>
        <v>0</v>
      </c>
    </row>
    <row r="52" spans="1:11" ht="14.4" x14ac:dyDescent="0.3">
      <c r="A52" s="3">
        <v>51</v>
      </c>
      <c r="B52" s="4" t="s">
        <v>65</v>
      </c>
      <c r="C52" s="4" t="s">
        <v>98</v>
      </c>
      <c r="D52" s="4" t="s">
        <v>49</v>
      </c>
      <c r="E52" s="4" t="s">
        <v>101</v>
      </c>
      <c r="F52" s="4" t="s">
        <v>31</v>
      </c>
      <c r="G52" s="4" t="s">
        <v>0</v>
      </c>
      <c r="H52" s="5">
        <v>30</v>
      </c>
      <c r="I52" s="5">
        <v>0</v>
      </c>
      <c r="J52" s="5">
        <f t="shared" ref="J52:J70" si="2">H52-I52</f>
        <v>30</v>
      </c>
      <c r="K52" s="6">
        <f t="shared" si="1"/>
        <v>0</v>
      </c>
    </row>
    <row r="53" spans="1:11" ht="14.4" x14ac:dyDescent="0.3">
      <c r="A53" s="3">
        <v>52</v>
      </c>
      <c r="B53" s="4" t="s">
        <v>65</v>
      </c>
      <c r="C53" s="4" t="s">
        <v>98</v>
      </c>
      <c r="D53" s="4" t="s">
        <v>102</v>
      </c>
      <c r="E53" s="4" t="s">
        <v>103</v>
      </c>
      <c r="F53" s="4" t="s">
        <v>31</v>
      </c>
      <c r="G53" s="4" t="s">
        <v>6</v>
      </c>
      <c r="H53" s="5">
        <v>40</v>
      </c>
      <c r="I53" s="5">
        <v>0</v>
      </c>
      <c r="J53" s="5">
        <f t="shared" si="2"/>
        <v>40</v>
      </c>
      <c r="K53" s="6">
        <f t="shared" si="1"/>
        <v>0</v>
      </c>
    </row>
    <row r="54" spans="1:11" ht="14.4" x14ac:dyDescent="0.3">
      <c r="A54" s="3">
        <v>53</v>
      </c>
      <c r="B54" s="4" t="s">
        <v>65</v>
      </c>
      <c r="C54" s="4" t="s">
        <v>86</v>
      </c>
      <c r="D54" s="4" t="s">
        <v>88</v>
      </c>
      <c r="E54" s="4" t="s">
        <v>104</v>
      </c>
      <c r="F54" s="4" t="s">
        <v>31</v>
      </c>
      <c r="G54" s="4" t="s">
        <v>6</v>
      </c>
      <c r="H54" s="5">
        <v>60</v>
      </c>
      <c r="I54" s="5">
        <v>0</v>
      </c>
      <c r="J54" s="5">
        <f t="shared" si="2"/>
        <v>60</v>
      </c>
      <c r="K54" s="6">
        <f t="shared" si="1"/>
        <v>0</v>
      </c>
    </row>
    <row r="55" spans="1:11" ht="14.4" x14ac:dyDescent="0.3">
      <c r="A55" s="3">
        <v>54</v>
      </c>
      <c r="B55" s="4" t="s">
        <v>65</v>
      </c>
      <c r="C55" s="4" t="s">
        <v>86</v>
      </c>
      <c r="D55" s="4" t="s">
        <v>88</v>
      </c>
      <c r="E55" s="4" t="s">
        <v>105</v>
      </c>
      <c r="F55" s="4" t="s">
        <v>31</v>
      </c>
      <c r="G55" s="4" t="s">
        <v>4</v>
      </c>
      <c r="H55" s="5">
        <v>70</v>
      </c>
      <c r="I55" s="5">
        <v>0</v>
      </c>
      <c r="J55" s="5">
        <f t="shared" si="2"/>
        <v>70</v>
      </c>
      <c r="K55" s="6">
        <f t="shared" si="1"/>
        <v>0</v>
      </c>
    </row>
    <row r="56" spans="1:11" ht="14.4" x14ac:dyDescent="0.3">
      <c r="A56" s="3">
        <v>55</v>
      </c>
      <c r="B56" s="4" t="s">
        <v>65</v>
      </c>
      <c r="C56" s="4" t="s">
        <v>86</v>
      </c>
      <c r="D56" s="4" t="s">
        <v>106</v>
      </c>
      <c r="E56" s="4" t="s">
        <v>107</v>
      </c>
      <c r="F56" s="4" t="s">
        <v>31</v>
      </c>
      <c r="G56" s="4" t="s">
        <v>2</v>
      </c>
      <c r="H56" s="5">
        <v>45</v>
      </c>
      <c r="I56" s="5">
        <v>0</v>
      </c>
      <c r="J56" s="5">
        <f t="shared" si="2"/>
        <v>45</v>
      </c>
      <c r="K56" s="6">
        <f t="shared" si="1"/>
        <v>0</v>
      </c>
    </row>
    <row r="57" spans="1:11" ht="14.4" x14ac:dyDescent="0.3">
      <c r="A57" s="3">
        <v>56</v>
      </c>
      <c r="B57" s="4" t="s">
        <v>65</v>
      </c>
      <c r="C57" s="4" t="s">
        <v>61</v>
      </c>
      <c r="D57" s="4" t="s">
        <v>29</v>
      </c>
      <c r="E57" s="4" t="s">
        <v>108</v>
      </c>
      <c r="F57" s="4" t="s">
        <v>31</v>
      </c>
      <c r="G57" s="4" t="s">
        <v>0</v>
      </c>
      <c r="H57" s="5">
        <v>30</v>
      </c>
      <c r="I57" s="5">
        <v>0</v>
      </c>
      <c r="J57" s="5">
        <f t="shared" si="2"/>
        <v>30</v>
      </c>
      <c r="K57" s="6">
        <f t="shared" si="1"/>
        <v>0</v>
      </c>
    </row>
    <row r="58" spans="1:11" ht="14.4" x14ac:dyDescent="0.3">
      <c r="A58" s="3">
        <v>57</v>
      </c>
      <c r="B58" s="4" t="s">
        <v>65</v>
      </c>
      <c r="C58" s="4" t="s">
        <v>61</v>
      </c>
      <c r="D58" s="4" t="s">
        <v>29</v>
      </c>
      <c r="E58" s="4" t="s">
        <v>109</v>
      </c>
      <c r="F58" s="4" t="s">
        <v>31</v>
      </c>
      <c r="G58" s="4" t="s">
        <v>6</v>
      </c>
      <c r="H58" s="5">
        <v>40</v>
      </c>
      <c r="I58" s="5">
        <v>0</v>
      </c>
      <c r="J58" s="5">
        <f t="shared" si="2"/>
        <v>40</v>
      </c>
      <c r="K58" s="6">
        <f t="shared" si="1"/>
        <v>0</v>
      </c>
    </row>
    <row r="59" spans="1:11" ht="14.4" x14ac:dyDescent="0.3">
      <c r="A59" s="3">
        <v>58</v>
      </c>
      <c r="B59" s="4" t="s">
        <v>65</v>
      </c>
      <c r="C59" s="4" t="s">
        <v>110</v>
      </c>
      <c r="D59" s="4" t="s">
        <v>111</v>
      </c>
      <c r="E59" s="4" t="s">
        <v>112</v>
      </c>
      <c r="F59" s="4" t="s">
        <v>31</v>
      </c>
      <c r="G59" s="4" t="s">
        <v>4</v>
      </c>
      <c r="H59" s="5">
        <v>45</v>
      </c>
      <c r="I59" s="5">
        <v>0</v>
      </c>
      <c r="J59" s="5">
        <f t="shared" si="2"/>
        <v>45</v>
      </c>
      <c r="K59" s="6">
        <f t="shared" si="1"/>
        <v>0</v>
      </c>
    </row>
    <row r="60" spans="1:11" ht="14.4" x14ac:dyDescent="0.3">
      <c r="A60" s="3">
        <v>59</v>
      </c>
      <c r="B60" s="4" t="s">
        <v>65</v>
      </c>
      <c r="C60" s="4" t="s">
        <v>110</v>
      </c>
      <c r="D60" s="4" t="s">
        <v>111</v>
      </c>
      <c r="E60" s="4" t="s">
        <v>113</v>
      </c>
      <c r="F60" s="4" t="s">
        <v>31</v>
      </c>
      <c r="G60" s="4" t="s">
        <v>2</v>
      </c>
      <c r="H60" s="5">
        <v>35</v>
      </c>
      <c r="I60" s="5">
        <v>0</v>
      </c>
      <c r="J60" s="5">
        <f t="shared" si="2"/>
        <v>35</v>
      </c>
      <c r="K60" s="6">
        <f t="shared" si="1"/>
        <v>0</v>
      </c>
    </row>
    <row r="61" spans="1:11" ht="14.4" x14ac:dyDescent="0.3">
      <c r="A61" s="3">
        <v>60</v>
      </c>
      <c r="B61" s="4" t="s">
        <v>65</v>
      </c>
      <c r="C61" s="4" t="s">
        <v>114</v>
      </c>
      <c r="D61" s="4"/>
      <c r="E61" s="4" t="s">
        <v>115</v>
      </c>
      <c r="F61" s="4" t="s">
        <v>116</v>
      </c>
      <c r="G61" s="4" t="s">
        <v>2</v>
      </c>
      <c r="H61" s="5">
        <v>45</v>
      </c>
      <c r="I61" s="5">
        <v>0</v>
      </c>
      <c r="J61" s="5">
        <f t="shared" si="2"/>
        <v>45</v>
      </c>
      <c r="K61" s="6">
        <f t="shared" si="1"/>
        <v>0</v>
      </c>
    </row>
    <row r="62" spans="1:11" ht="14.4" x14ac:dyDescent="0.3">
      <c r="A62" s="3">
        <v>61</v>
      </c>
      <c r="B62" s="4" t="s">
        <v>65</v>
      </c>
      <c r="C62" s="4" t="s">
        <v>114</v>
      </c>
      <c r="D62" s="4"/>
      <c r="E62" s="4" t="s">
        <v>117</v>
      </c>
      <c r="F62" s="4" t="s">
        <v>116</v>
      </c>
      <c r="G62" s="4" t="s">
        <v>0</v>
      </c>
      <c r="H62" s="5">
        <v>40</v>
      </c>
      <c r="I62" s="5">
        <v>0</v>
      </c>
      <c r="J62" s="5">
        <f t="shared" si="2"/>
        <v>40</v>
      </c>
      <c r="K62" s="6">
        <f t="shared" si="1"/>
        <v>0</v>
      </c>
    </row>
    <row r="63" spans="1:11" ht="14.4" x14ac:dyDescent="0.3">
      <c r="A63" s="3">
        <v>62</v>
      </c>
      <c r="B63" s="4" t="s">
        <v>65</v>
      </c>
      <c r="C63" s="4" t="s">
        <v>118</v>
      </c>
      <c r="D63" s="4"/>
      <c r="E63" s="4" t="s">
        <v>119</v>
      </c>
      <c r="F63" s="4" t="s">
        <v>116</v>
      </c>
      <c r="G63" s="4" t="s">
        <v>6</v>
      </c>
      <c r="H63" s="5">
        <v>45</v>
      </c>
      <c r="I63" s="5">
        <v>0</v>
      </c>
      <c r="J63" s="5">
        <f t="shared" si="2"/>
        <v>45</v>
      </c>
      <c r="K63" s="6">
        <f t="shared" si="1"/>
        <v>0</v>
      </c>
    </row>
    <row r="64" spans="1:11" ht="14.4" x14ac:dyDescent="0.3">
      <c r="A64" s="3">
        <v>63</v>
      </c>
      <c r="B64" s="4" t="s">
        <v>65</v>
      </c>
      <c r="C64" s="4" t="s">
        <v>118</v>
      </c>
      <c r="D64" s="4"/>
      <c r="E64" s="4" t="s">
        <v>120</v>
      </c>
      <c r="F64" s="4" t="s">
        <v>116</v>
      </c>
      <c r="G64" s="4" t="s">
        <v>4</v>
      </c>
      <c r="H64" s="5">
        <v>60</v>
      </c>
      <c r="I64" s="5">
        <v>0</v>
      </c>
      <c r="J64" s="5">
        <f t="shared" si="2"/>
        <v>60</v>
      </c>
      <c r="K64" s="6">
        <f t="shared" si="1"/>
        <v>0</v>
      </c>
    </row>
    <row r="65" spans="1:11" ht="14.4" x14ac:dyDescent="0.3">
      <c r="A65" s="3">
        <v>64</v>
      </c>
      <c r="B65" s="4" t="s">
        <v>65</v>
      </c>
      <c r="C65" s="4" t="s">
        <v>121</v>
      </c>
      <c r="D65" s="4"/>
      <c r="E65" s="4" t="s">
        <v>122</v>
      </c>
      <c r="F65" s="4" t="s">
        <v>116</v>
      </c>
      <c r="G65" s="4" t="s">
        <v>2</v>
      </c>
      <c r="H65" s="5">
        <v>40</v>
      </c>
      <c r="I65" s="5">
        <v>0</v>
      </c>
      <c r="J65" s="5">
        <f t="shared" si="2"/>
        <v>40</v>
      </c>
      <c r="K65" s="6">
        <f t="shared" si="1"/>
        <v>0</v>
      </c>
    </row>
    <row r="66" spans="1:11" ht="14.4" x14ac:dyDescent="0.3">
      <c r="A66" s="3">
        <v>65</v>
      </c>
      <c r="B66" s="4" t="s">
        <v>65</v>
      </c>
      <c r="C66" s="4" t="s">
        <v>121</v>
      </c>
      <c r="D66" s="4"/>
      <c r="E66" s="4" t="s">
        <v>123</v>
      </c>
      <c r="F66" s="4" t="s">
        <v>116</v>
      </c>
      <c r="G66" s="4" t="s">
        <v>0</v>
      </c>
      <c r="H66" s="5">
        <v>30</v>
      </c>
      <c r="I66" s="5">
        <v>0</v>
      </c>
      <c r="J66" s="5">
        <f t="shared" si="2"/>
        <v>30</v>
      </c>
      <c r="K66" s="6">
        <f t="shared" si="1"/>
        <v>0</v>
      </c>
    </row>
    <row r="67" spans="1:11" ht="14.4" x14ac:dyDescent="0.3">
      <c r="A67" s="3">
        <v>66</v>
      </c>
      <c r="B67" s="4" t="s">
        <v>65</v>
      </c>
      <c r="C67" s="4" t="s">
        <v>124</v>
      </c>
      <c r="D67" s="4"/>
      <c r="E67" s="4" t="s">
        <v>125</v>
      </c>
      <c r="F67" s="4" t="s">
        <v>126</v>
      </c>
      <c r="G67" s="4" t="s">
        <v>6</v>
      </c>
      <c r="H67" s="5">
        <v>40</v>
      </c>
      <c r="I67" s="5">
        <v>0</v>
      </c>
      <c r="J67" s="5">
        <f t="shared" si="2"/>
        <v>40</v>
      </c>
      <c r="K67" s="6">
        <f t="shared" si="1"/>
        <v>0</v>
      </c>
    </row>
    <row r="68" spans="1:11" ht="14.4" x14ac:dyDescent="0.3">
      <c r="A68" s="3">
        <v>67</v>
      </c>
      <c r="B68" s="4" t="s">
        <v>65</v>
      </c>
      <c r="C68" s="4" t="s">
        <v>124</v>
      </c>
      <c r="D68" s="4"/>
      <c r="E68" s="4" t="s">
        <v>127</v>
      </c>
      <c r="F68" s="4" t="s">
        <v>126</v>
      </c>
      <c r="G68" s="4" t="s">
        <v>4</v>
      </c>
      <c r="H68" s="5">
        <v>45</v>
      </c>
      <c r="I68" s="5">
        <v>45</v>
      </c>
      <c r="J68" s="5">
        <f t="shared" si="2"/>
        <v>0</v>
      </c>
      <c r="K68" s="6">
        <f t="shared" si="1"/>
        <v>1</v>
      </c>
    </row>
    <row r="69" spans="1:11" ht="14.4" x14ac:dyDescent="0.3">
      <c r="A69" s="3">
        <v>68</v>
      </c>
      <c r="B69" s="4" t="s">
        <v>65</v>
      </c>
      <c r="C69" s="4" t="s">
        <v>124</v>
      </c>
      <c r="D69" s="4"/>
      <c r="E69" s="4" t="s">
        <v>128</v>
      </c>
      <c r="F69" s="4" t="s">
        <v>126</v>
      </c>
      <c r="G69" s="4" t="s">
        <v>2</v>
      </c>
      <c r="H69" s="5">
        <v>60</v>
      </c>
      <c r="I69" s="5">
        <v>60</v>
      </c>
      <c r="J69" s="5">
        <f t="shared" si="2"/>
        <v>0</v>
      </c>
      <c r="K69" s="6">
        <f t="shared" si="1"/>
        <v>1</v>
      </c>
    </row>
    <row r="70" spans="1:11" ht="14.4" x14ac:dyDescent="0.3">
      <c r="A70" s="3">
        <v>69</v>
      </c>
      <c r="B70" s="4" t="s">
        <v>65</v>
      </c>
      <c r="C70" s="4" t="s">
        <v>129</v>
      </c>
      <c r="D70" s="4"/>
      <c r="E70" s="4" t="s">
        <v>130</v>
      </c>
      <c r="F70" s="4" t="s">
        <v>126</v>
      </c>
      <c r="G70" s="4" t="s">
        <v>0</v>
      </c>
      <c r="H70" s="5">
        <v>45</v>
      </c>
      <c r="I70" s="5">
        <v>0</v>
      </c>
      <c r="J70" s="5">
        <f t="shared" si="2"/>
        <v>45</v>
      </c>
      <c r="K70" s="6">
        <f t="shared" si="1"/>
        <v>0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D12"/>
  <sheetViews>
    <sheetView showGridLines="0" tabSelected="1" workbookViewId="0">
      <selection activeCell="A7" sqref="A7"/>
    </sheetView>
  </sheetViews>
  <sheetFormatPr baseColWidth="10" defaultColWidth="12.6640625" defaultRowHeight="15.75" customHeight="1" x14ac:dyDescent="0.25"/>
  <sheetData>
    <row r="1" spans="1:4" x14ac:dyDescent="0.25">
      <c r="A1" s="18"/>
      <c r="B1" s="19" t="s">
        <v>138</v>
      </c>
      <c r="C1" s="20"/>
      <c r="D1" s="21"/>
    </row>
    <row r="2" spans="1:4" x14ac:dyDescent="0.25">
      <c r="A2" s="19" t="s">
        <v>14</v>
      </c>
      <c r="B2" s="18" t="s">
        <v>139</v>
      </c>
      <c r="C2" s="22" t="s">
        <v>140</v>
      </c>
      <c r="D2" s="23" t="s">
        <v>141</v>
      </c>
    </row>
    <row r="3" spans="1:4" x14ac:dyDescent="0.25">
      <c r="A3" s="18" t="s">
        <v>0</v>
      </c>
      <c r="B3" s="24">
        <v>785</v>
      </c>
      <c r="C3" s="25">
        <v>295</v>
      </c>
      <c r="D3" s="26">
        <v>490</v>
      </c>
    </row>
    <row r="4" spans="1:4" x14ac:dyDescent="0.25">
      <c r="A4" s="27" t="s">
        <v>2</v>
      </c>
      <c r="B4" s="28">
        <v>710</v>
      </c>
      <c r="C4" s="29">
        <v>155</v>
      </c>
      <c r="D4" s="30">
        <v>555</v>
      </c>
    </row>
    <row r="5" spans="1:4" x14ac:dyDescent="0.25">
      <c r="A5" s="27" t="s">
        <v>4</v>
      </c>
      <c r="B5" s="28">
        <v>705</v>
      </c>
      <c r="C5" s="29">
        <v>240</v>
      </c>
      <c r="D5" s="30">
        <v>465</v>
      </c>
    </row>
    <row r="6" spans="1:4" x14ac:dyDescent="0.25">
      <c r="A6" s="27" t="s">
        <v>6</v>
      </c>
      <c r="B6" s="28">
        <v>655</v>
      </c>
      <c r="C6" s="29">
        <v>165</v>
      </c>
      <c r="D6" s="30">
        <v>490</v>
      </c>
    </row>
    <row r="7" spans="1:4" x14ac:dyDescent="0.25">
      <c r="A7" s="27" t="s">
        <v>142</v>
      </c>
      <c r="B7" s="28"/>
      <c r="C7" s="29"/>
      <c r="D7" s="30"/>
    </row>
    <row r="8" spans="1:4" ht="15.75" customHeight="1" x14ac:dyDescent="0.25">
      <c r="A8" s="31" t="s">
        <v>131</v>
      </c>
      <c r="B8" s="32">
        <v>2855</v>
      </c>
      <c r="C8" s="33">
        <v>855</v>
      </c>
      <c r="D8" s="34">
        <v>2000</v>
      </c>
    </row>
    <row r="12" spans="1:4" x14ac:dyDescent="0.25">
      <c r="A12" s="7" t="s">
        <v>18</v>
      </c>
      <c r="B12" s="8">
        <f>avancement!D2</f>
        <v>0.29947460595446584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baseColWidth="10" defaultColWidth="12.6640625" defaultRowHeight="15.75" customHeight="1" x14ac:dyDescent="0.25"/>
  <sheetData>
    <row r="1" spans="1:5" ht="15.75" customHeight="1" x14ac:dyDescent="0.3">
      <c r="A1" s="9" t="s">
        <v>132</v>
      </c>
      <c r="B1" s="9" t="s">
        <v>133</v>
      </c>
      <c r="C1" s="9" t="s">
        <v>134</v>
      </c>
      <c r="D1" s="9" t="s">
        <v>135</v>
      </c>
      <c r="E1" s="9" t="s">
        <v>132</v>
      </c>
    </row>
    <row r="2" spans="1:5" ht="15.75" customHeight="1" x14ac:dyDescent="0.3">
      <c r="A2" s="10">
        <f>SUM('liste des taches'!H:H)</f>
        <v>2855</v>
      </c>
      <c r="B2" s="10">
        <f>SUM('liste des taches'!I:I)</f>
        <v>855</v>
      </c>
      <c r="C2" s="10">
        <f>SUM('liste des taches'!J:J)</f>
        <v>2000</v>
      </c>
      <c r="D2" s="11">
        <f>(B2/(B2+C2))</f>
        <v>0.29947460595446584</v>
      </c>
      <c r="E2" s="10">
        <f>SUM('liste des taches'!L:L)</f>
        <v>0</v>
      </c>
    </row>
    <row r="3" spans="1:5" ht="15.75" customHeight="1" x14ac:dyDescent="0.3">
      <c r="A3" s="1"/>
      <c r="B3" s="1"/>
      <c r="C3" s="10">
        <f>C2/60</f>
        <v>33.333333333333336</v>
      </c>
      <c r="D3" s="12" t="s">
        <v>136</v>
      </c>
      <c r="E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70"/>
  <sheetViews>
    <sheetView workbookViewId="0"/>
  </sheetViews>
  <sheetFormatPr baseColWidth="10" defaultColWidth="12.6640625" defaultRowHeight="15.75" customHeight="1" x14ac:dyDescent="0.25"/>
  <sheetData>
    <row r="1" spans="1:5" ht="15.75" customHeight="1" x14ac:dyDescent="0.3">
      <c r="A1" s="13" t="s">
        <v>8</v>
      </c>
      <c r="B1" s="14" t="s">
        <v>137</v>
      </c>
      <c r="C1" s="15">
        <v>46048</v>
      </c>
      <c r="D1" s="15">
        <v>46049</v>
      </c>
      <c r="E1" s="15">
        <v>46050</v>
      </c>
    </row>
    <row r="2" spans="1:5" ht="15.75" customHeight="1" x14ac:dyDescent="0.3">
      <c r="A2" s="16">
        <v>1</v>
      </c>
      <c r="B2" s="10">
        <f t="shared" ref="B2:B70" si="0">SUM(D2:P2)</f>
        <v>45</v>
      </c>
      <c r="C2" s="1"/>
      <c r="D2" s="5">
        <v>45</v>
      </c>
      <c r="E2" s="1"/>
    </row>
    <row r="3" spans="1:5" ht="15.75" customHeight="1" x14ac:dyDescent="0.3">
      <c r="A3" s="16">
        <v>2</v>
      </c>
      <c r="B3" s="10">
        <f t="shared" si="0"/>
        <v>0</v>
      </c>
      <c r="C3" s="1"/>
      <c r="D3" s="5">
        <v>0</v>
      </c>
      <c r="E3" s="1"/>
    </row>
    <row r="4" spans="1:5" ht="15.75" customHeight="1" x14ac:dyDescent="0.3">
      <c r="A4" s="16">
        <v>3</v>
      </c>
      <c r="B4" s="10">
        <f t="shared" si="0"/>
        <v>60</v>
      </c>
      <c r="C4" s="16">
        <v>20</v>
      </c>
      <c r="D4" s="5">
        <v>60</v>
      </c>
      <c r="E4" s="1"/>
    </row>
    <row r="5" spans="1:5" ht="15.75" customHeight="1" x14ac:dyDescent="0.3">
      <c r="A5" s="16">
        <v>4</v>
      </c>
      <c r="B5" s="10">
        <f t="shared" si="0"/>
        <v>0</v>
      </c>
      <c r="C5" s="1"/>
      <c r="D5" s="5">
        <v>0</v>
      </c>
      <c r="E5" s="1"/>
    </row>
    <row r="6" spans="1:5" ht="15.75" customHeight="1" x14ac:dyDescent="0.3">
      <c r="A6" s="16">
        <v>5</v>
      </c>
      <c r="B6" s="10">
        <f t="shared" si="0"/>
        <v>30</v>
      </c>
      <c r="C6" s="1"/>
      <c r="D6" s="5">
        <v>30</v>
      </c>
      <c r="E6" s="1"/>
    </row>
    <row r="7" spans="1:5" ht="15.75" customHeight="1" x14ac:dyDescent="0.3">
      <c r="A7" s="16">
        <v>6</v>
      </c>
      <c r="B7" s="10">
        <f t="shared" si="0"/>
        <v>30</v>
      </c>
      <c r="C7" s="1"/>
      <c r="D7" s="5">
        <v>30</v>
      </c>
      <c r="E7" s="1"/>
    </row>
    <row r="8" spans="1:5" ht="15.75" customHeight="1" x14ac:dyDescent="0.3">
      <c r="A8" s="16">
        <v>7</v>
      </c>
      <c r="B8" s="10">
        <f t="shared" si="0"/>
        <v>0</v>
      </c>
      <c r="C8" s="1"/>
      <c r="D8" s="5">
        <v>0</v>
      </c>
      <c r="E8" s="1"/>
    </row>
    <row r="9" spans="1:5" ht="15.75" customHeight="1" x14ac:dyDescent="0.3">
      <c r="A9" s="17">
        <v>8</v>
      </c>
      <c r="B9" s="10">
        <f t="shared" si="0"/>
        <v>60</v>
      </c>
      <c r="C9" s="1"/>
      <c r="D9" s="5">
        <v>60</v>
      </c>
      <c r="E9" s="1"/>
    </row>
    <row r="10" spans="1:5" ht="15.75" customHeight="1" x14ac:dyDescent="0.3">
      <c r="A10" s="17">
        <v>9</v>
      </c>
      <c r="B10" s="10">
        <f t="shared" si="0"/>
        <v>0</v>
      </c>
      <c r="C10" s="1"/>
      <c r="D10" s="5">
        <v>0</v>
      </c>
      <c r="E10" s="1"/>
    </row>
    <row r="11" spans="1:5" ht="15.75" customHeight="1" x14ac:dyDescent="0.3">
      <c r="A11" s="16">
        <v>10</v>
      </c>
      <c r="B11" s="10">
        <f t="shared" si="0"/>
        <v>30</v>
      </c>
      <c r="D11" s="5">
        <v>30</v>
      </c>
    </row>
    <row r="12" spans="1:5" ht="15.75" customHeight="1" x14ac:dyDescent="0.3">
      <c r="A12" s="16">
        <v>11</v>
      </c>
      <c r="B12" s="10">
        <f t="shared" si="0"/>
        <v>30</v>
      </c>
      <c r="D12" s="5">
        <v>30</v>
      </c>
    </row>
    <row r="13" spans="1:5" ht="15.75" customHeight="1" x14ac:dyDescent="0.3">
      <c r="A13" s="16">
        <v>12</v>
      </c>
      <c r="B13" s="10">
        <f t="shared" si="0"/>
        <v>0</v>
      </c>
      <c r="D13" s="5">
        <v>0</v>
      </c>
    </row>
    <row r="14" spans="1:5" ht="15.75" customHeight="1" x14ac:dyDescent="0.3">
      <c r="A14" s="16">
        <v>13</v>
      </c>
      <c r="B14" s="10">
        <f t="shared" si="0"/>
        <v>0</v>
      </c>
      <c r="D14" s="5">
        <v>0</v>
      </c>
    </row>
    <row r="15" spans="1:5" ht="15.75" customHeight="1" x14ac:dyDescent="0.3">
      <c r="A15" s="16">
        <v>14</v>
      </c>
      <c r="B15" s="10">
        <f t="shared" si="0"/>
        <v>0</v>
      </c>
      <c r="D15" s="5">
        <v>0</v>
      </c>
    </row>
    <row r="16" spans="1:5" ht="15.75" customHeight="1" x14ac:dyDescent="0.3">
      <c r="A16" s="16">
        <v>15</v>
      </c>
      <c r="B16" s="10">
        <f t="shared" si="0"/>
        <v>40</v>
      </c>
      <c r="D16" s="5">
        <v>40</v>
      </c>
    </row>
    <row r="17" spans="1:4" ht="15.75" customHeight="1" x14ac:dyDescent="0.3">
      <c r="A17" s="16">
        <v>16</v>
      </c>
      <c r="B17" s="10">
        <f t="shared" si="0"/>
        <v>0</v>
      </c>
      <c r="D17" s="5">
        <v>0</v>
      </c>
    </row>
    <row r="18" spans="1:4" ht="15.75" customHeight="1" x14ac:dyDescent="0.3">
      <c r="A18" s="17">
        <v>17</v>
      </c>
      <c r="B18" s="10">
        <f t="shared" si="0"/>
        <v>0</v>
      </c>
      <c r="D18" s="5">
        <v>0</v>
      </c>
    </row>
    <row r="19" spans="1:4" ht="15.75" customHeight="1" x14ac:dyDescent="0.3">
      <c r="A19" s="17">
        <v>18</v>
      </c>
      <c r="B19" s="10">
        <f t="shared" si="0"/>
        <v>35</v>
      </c>
      <c r="D19" s="5">
        <v>35</v>
      </c>
    </row>
    <row r="20" spans="1:4" ht="15.75" customHeight="1" x14ac:dyDescent="0.3">
      <c r="A20" s="16">
        <v>19</v>
      </c>
      <c r="B20" s="10">
        <f t="shared" si="0"/>
        <v>0</v>
      </c>
      <c r="D20" s="5">
        <v>0</v>
      </c>
    </row>
    <row r="21" spans="1:4" ht="15.75" customHeight="1" x14ac:dyDescent="0.3">
      <c r="A21" s="16">
        <v>20</v>
      </c>
      <c r="B21" s="10">
        <f t="shared" si="0"/>
        <v>0</v>
      </c>
      <c r="D21" s="5">
        <v>0</v>
      </c>
    </row>
    <row r="22" spans="1:4" ht="15.75" customHeight="1" x14ac:dyDescent="0.3">
      <c r="A22" s="16">
        <v>21</v>
      </c>
      <c r="B22" s="10">
        <f t="shared" si="0"/>
        <v>0</v>
      </c>
      <c r="D22" s="5">
        <v>0</v>
      </c>
    </row>
    <row r="23" spans="1:4" ht="15.75" customHeight="1" x14ac:dyDescent="0.3">
      <c r="A23" s="16">
        <v>22</v>
      </c>
      <c r="B23" s="10">
        <f t="shared" si="0"/>
        <v>0</v>
      </c>
      <c r="D23" s="5">
        <v>0</v>
      </c>
    </row>
    <row r="24" spans="1:4" ht="15.75" customHeight="1" x14ac:dyDescent="0.3">
      <c r="A24" s="16">
        <v>23</v>
      </c>
      <c r="B24" s="10">
        <f t="shared" si="0"/>
        <v>0</v>
      </c>
      <c r="D24" s="5">
        <v>0</v>
      </c>
    </row>
    <row r="25" spans="1:4" ht="15.75" customHeight="1" x14ac:dyDescent="0.3">
      <c r="A25" s="16">
        <v>24</v>
      </c>
      <c r="B25" s="10">
        <f t="shared" si="0"/>
        <v>0</v>
      </c>
      <c r="D25" s="5">
        <v>0</v>
      </c>
    </row>
    <row r="26" spans="1:4" ht="15.75" customHeight="1" x14ac:dyDescent="0.3">
      <c r="A26" s="16">
        <v>25</v>
      </c>
      <c r="B26" s="10">
        <f t="shared" si="0"/>
        <v>0</v>
      </c>
      <c r="D26" s="5">
        <v>0</v>
      </c>
    </row>
    <row r="27" spans="1:4" ht="15.75" customHeight="1" x14ac:dyDescent="0.3">
      <c r="A27" s="17">
        <v>26</v>
      </c>
      <c r="B27" s="10">
        <f t="shared" si="0"/>
        <v>30</v>
      </c>
      <c r="D27" s="5">
        <v>30</v>
      </c>
    </row>
    <row r="28" spans="1:4" ht="15.75" customHeight="1" x14ac:dyDescent="0.3">
      <c r="A28" s="17">
        <v>27</v>
      </c>
      <c r="B28" s="10">
        <f t="shared" si="0"/>
        <v>30</v>
      </c>
      <c r="D28" s="5">
        <v>30</v>
      </c>
    </row>
    <row r="29" spans="1:4" ht="15.75" customHeight="1" x14ac:dyDescent="0.3">
      <c r="A29" s="16">
        <v>28</v>
      </c>
      <c r="B29" s="10">
        <f t="shared" si="0"/>
        <v>50</v>
      </c>
      <c r="D29" s="5">
        <v>50</v>
      </c>
    </row>
    <row r="30" spans="1:4" ht="15.6" x14ac:dyDescent="0.3">
      <c r="A30" s="16">
        <v>29</v>
      </c>
      <c r="B30" s="10">
        <f t="shared" si="0"/>
        <v>45</v>
      </c>
      <c r="D30" s="5">
        <v>45</v>
      </c>
    </row>
    <row r="31" spans="1:4" ht="15.6" x14ac:dyDescent="0.3">
      <c r="A31" s="16">
        <v>30</v>
      </c>
      <c r="B31" s="10">
        <f t="shared" si="0"/>
        <v>0</v>
      </c>
      <c r="D31" s="5">
        <v>0</v>
      </c>
    </row>
    <row r="32" spans="1:4" ht="15.6" x14ac:dyDescent="0.3">
      <c r="A32" s="16">
        <v>31</v>
      </c>
      <c r="B32" s="10">
        <f t="shared" si="0"/>
        <v>0</v>
      </c>
      <c r="D32" s="5">
        <v>0</v>
      </c>
    </row>
    <row r="33" spans="1:4" ht="15.6" x14ac:dyDescent="0.3">
      <c r="A33" s="16">
        <v>32</v>
      </c>
      <c r="B33" s="10">
        <f t="shared" si="0"/>
        <v>45</v>
      </c>
      <c r="D33" s="5">
        <v>45</v>
      </c>
    </row>
    <row r="34" spans="1:4" ht="15.6" x14ac:dyDescent="0.3">
      <c r="A34" s="16">
        <v>33</v>
      </c>
      <c r="B34" s="10">
        <f t="shared" si="0"/>
        <v>15</v>
      </c>
      <c r="D34" s="5">
        <v>15</v>
      </c>
    </row>
    <row r="35" spans="1:4" ht="15.6" x14ac:dyDescent="0.3">
      <c r="A35" s="16">
        <v>34</v>
      </c>
      <c r="B35" s="10">
        <f t="shared" si="0"/>
        <v>0</v>
      </c>
      <c r="D35" s="5">
        <v>0</v>
      </c>
    </row>
    <row r="36" spans="1:4" ht="15.6" x14ac:dyDescent="0.3">
      <c r="A36" s="17">
        <v>35</v>
      </c>
      <c r="B36" s="10">
        <f t="shared" si="0"/>
        <v>0</v>
      </c>
      <c r="D36" s="5">
        <v>0</v>
      </c>
    </row>
    <row r="37" spans="1:4" ht="15.6" x14ac:dyDescent="0.3">
      <c r="A37" s="17">
        <v>36</v>
      </c>
      <c r="B37" s="10">
        <f t="shared" si="0"/>
        <v>0</v>
      </c>
      <c r="D37" s="5">
        <v>0</v>
      </c>
    </row>
    <row r="38" spans="1:4" ht="15.6" x14ac:dyDescent="0.3">
      <c r="A38" s="16">
        <v>37</v>
      </c>
      <c r="B38" s="10">
        <f t="shared" si="0"/>
        <v>0</v>
      </c>
      <c r="D38" s="5">
        <v>0</v>
      </c>
    </row>
    <row r="39" spans="1:4" ht="15.6" x14ac:dyDescent="0.3">
      <c r="A39" s="16">
        <v>38</v>
      </c>
      <c r="B39" s="10">
        <f t="shared" si="0"/>
        <v>30</v>
      </c>
      <c r="D39" s="5">
        <v>30</v>
      </c>
    </row>
    <row r="40" spans="1:4" ht="15.6" x14ac:dyDescent="0.3">
      <c r="A40" s="16">
        <v>39</v>
      </c>
      <c r="B40" s="10">
        <f t="shared" si="0"/>
        <v>20</v>
      </c>
      <c r="D40" s="5">
        <v>20</v>
      </c>
    </row>
    <row r="41" spans="1:4" ht="15.6" x14ac:dyDescent="0.3">
      <c r="A41" s="16">
        <v>40</v>
      </c>
      <c r="B41" s="10">
        <f t="shared" si="0"/>
        <v>0</v>
      </c>
      <c r="D41" s="5">
        <v>0</v>
      </c>
    </row>
    <row r="42" spans="1:4" ht="15.6" x14ac:dyDescent="0.3">
      <c r="A42" s="16">
        <v>41</v>
      </c>
      <c r="B42" s="10">
        <f t="shared" si="0"/>
        <v>0</v>
      </c>
      <c r="D42" s="5">
        <v>0</v>
      </c>
    </row>
    <row r="43" spans="1:4" ht="15.6" x14ac:dyDescent="0.3">
      <c r="A43" s="16">
        <v>42</v>
      </c>
      <c r="B43" s="10">
        <f t="shared" si="0"/>
        <v>0</v>
      </c>
      <c r="D43" s="5">
        <v>0</v>
      </c>
    </row>
    <row r="44" spans="1:4" ht="15.6" x14ac:dyDescent="0.3">
      <c r="A44" s="16">
        <v>43</v>
      </c>
      <c r="B44" s="10">
        <f t="shared" si="0"/>
        <v>0</v>
      </c>
      <c r="D44" s="5">
        <v>0</v>
      </c>
    </row>
    <row r="45" spans="1:4" ht="15.6" x14ac:dyDescent="0.3">
      <c r="A45" s="17">
        <v>44</v>
      </c>
      <c r="B45" s="10">
        <f t="shared" si="0"/>
        <v>0</v>
      </c>
      <c r="D45" s="5">
        <v>0</v>
      </c>
    </row>
    <row r="46" spans="1:4" ht="15.6" x14ac:dyDescent="0.3">
      <c r="A46" s="17">
        <v>45</v>
      </c>
      <c r="B46" s="10">
        <f t="shared" si="0"/>
        <v>0</v>
      </c>
      <c r="D46" s="5">
        <v>0</v>
      </c>
    </row>
    <row r="47" spans="1:4" ht="15.6" x14ac:dyDescent="0.3">
      <c r="A47" s="16">
        <v>46</v>
      </c>
      <c r="B47" s="10">
        <f t="shared" si="0"/>
        <v>0</v>
      </c>
      <c r="D47" s="5">
        <v>0</v>
      </c>
    </row>
    <row r="48" spans="1:4" ht="15.6" x14ac:dyDescent="0.3">
      <c r="A48" s="16">
        <v>47</v>
      </c>
      <c r="B48" s="10">
        <f t="shared" si="0"/>
        <v>15</v>
      </c>
      <c r="D48" s="5">
        <v>15</v>
      </c>
    </row>
    <row r="49" spans="1:4" ht="15.6" x14ac:dyDescent="0.3">
      <c r="A49" s="16">
        <v>48</v>
      </c>
      <c r="B49" s="10">
        <f t="shared" si="0"/>
        <v>0</v>
      </c>
      <c r="D49" s="5">
        <v>0</v>
      </c>
    </row>
    <row r="50" spans="1:4" ht="15.6" x14ac:dyDescent="0.3">
      <c r="A50" s="16">
        <v>49</v>
      </c>
      <c r="B50" s="10">
        <f t="shared" si="0"/>
        <v>0</v>
      </c>
      <c r="D50" s="5">
        <v>0</v>
      </c>
    </row>
    <row r="51" spans="1:4" ht="15.6" x14ac:dyDescent="0.3">
      <c r="A51" s="16">
        <v>50</v>
      </c>
      <c r="B51" s="10">
        <f t="shared" si="0"/>
        <v>0</v>
      </c>
      <c r="D51" s="5">
        <v>0</v>
      </c>
    </row>
    <row r="52" spans="1:4" ht="15.6" x14ac:dyDescent="0.3">
      <c r="A52" s="16">
        <v>51</v>
      </c>
      <c r="B52" s="10">
        <f t="shared" si="0"/>
        <v>0</v>
      </c>
      <c r="D52" s="5">
        <v>0</v>
      </c>
    </row>
    <row r="53" spans="1:4" ht="15.6" x14ac:dyDescent="0.3">
      <c r="A53" s="16">
        <v>52</v>
      </c>
      <c r="B53" s="10">
        <f t="shared" si="0"/>
        <v>0</v>
      </c>
      <c r="D53" s="5">
        <v>0</v>
      </c>
    </row>
    <row r="54" spans="1:4" ht="15.6" x14ac:dyDescent="0.3">
      <c r="A54" s="17">
        <v>53</v>
      </c>
      <c r="B54" s="10">
        <f t="shared" si="0"/>
        <v>0</v>
      </c>
      <c r="D54" s="5">
        <v>0</v>
      </c>
    </row>
    <row r="55" spans="1:4" ht="15.6" x14ac:dyDescent="0.3">
      <c r="A55" s="17">
        <v>54</v>
      </c>
      <c r="B55" s="10">
        <f t="shared" si="0"/>
        <v>0</v>
      </c>
      <c r="D55" s="5">
        <v>0</v>
      </c>
    </row>
    <row r="56" spans="1:4" ht="15.6" x14ac:dyDescent="0.3">
      <c r="A56" s="16">
        <v>55</v>
      </c>
      <c r="B56" s="10">
        <f t="shared" si="0"/>
        <v>0</v>
      </c>
      <c r="D56" s="5">
        <v>0</v>
      </c>
    </row>
    <row r="57" spans="1:4" ht="15.6" x14ac:dyDescent="0.3">
      <c r="A57" s="16">
        <v>56</v>
      </c>
      <c r="B57" s="10">
        <f t="shared" si="0"/>
        <v>0</v>
      </c>
      <c r="D57" s="5">
        <v>0</v>
      </c>
    </row>
    <row r="58" spans="1:4" ht="15.6" x14ac:dyDescent="0.3">
      <c r="A58" s="16">
        <v>57</v>
      </c>
      <c r="B58" s="10">
        <f t="shared" si="0"/>
        <v>0</v>
      </c>
      <c r="D58" s="5">
        <v>0</v>
      </c>
    </row>
    <row r="59" spans="1:4" ht="15.6" x14ac:dyDescent="0.3">
      <c r="A59" s="16">
        <v>58</v>
      </c>
      <c r="B59" s="10">
        <f t="shared" si="0"/>
        <v>0</v>
      </c>
      <c r="D59" s="5">
        <v>0</v>
      </c>
    </row>
    <row r="60" spans="1:4" ht="15.6" x14ac:dyDescent="0.3">
      <c r="A60" s="16">
        <v>59</v>
      </c>
      <c r="B60" s="10">
        <f t="shared" si="0"/>
        <v>0</v>
      </c>
      <c r="D60" s="5">
        <v>0</v>
      </c>
    </row>
    <row r="61" spans="1:4" ht="15.6" x14ac:dyDescent="0.3">
      <c r="A61" s="16">
        <v>60</v>
      </c>
      <c r="B61" s="10">
        <f t="shared" si="0"/>
        <v>0</v>
      </c>
      <c r="D61" s="5">
        <v>0</v>
      </c>
    </row>
    <row r="62" spans="1:4" ht="15.6" x14ac:dyDescent="0.3">
      <c r="A62" s="16">
        <v>61</v>
      </c>
      <c r="B62" s="10">
        <f t="shared" si="0"/>
        <v>0</v>
      </c>
      <c r="D62" s="5">
        <v>0</v>
      </c>
    </row>
    <row r="63" spans="1:4" ht="15.6" x14ac:dyDescent="0.3">
      <c r="A63" s="17">
        <v>62</v>
      </c>
      <c r="B63" s="10">
        <f t="shared" si="0"/>
        <v>0</v>
      </c>
      <c r="D63" s="5">
        <v>0</v>
      </c>
    </row>
    <row r="64" spans="1:4" ht="15.6" x14ac:dyDescent="0.3">
      <c r="A64" s="17">
        <v>63</v>
      </c>
      <c r="B64" s="10">
        <f t="shared" si="0"/>
        <v>0</v>
      </c>
      <c r="D64" s="5">
        <v>0</v>
      </c>
    </row>
    <row r="65" spans="1:4" ht="15.6" x14ac:dyDescent="0.3">
      <c r="A65" s="16">
        <v>64</v>
      </c>
      <c r="B65" s="10">
        <f t="shared" si="0"/>
        <v>0</v>
      </c>
      <c r="D65" s="5">
        <v>0</v>
      </c>
    </row>
    <row r="66" spans="1:4" ht="15.6" x14ac:dyDescent="0.3">
      <c r="A66" s="16">
        <v>65</v>
      </c>
      <c r="B66" s="10">
        <f t="shared" si="0"/>
        <v>0</v>
      </c>
      <c r="D66" s="5">
        <v>0</v>
      </c>
    </row>
    <row r="67" spans="1:4" ht="15.6" x14ac:dyDescent="0.3">
      <c r="A67" s="16">
        <v>66</v>
      </c>
      <c r="B67" s="10">
        <f t="shared" si="0"/>
        <v>0</v>
      </c>
      <c r="D67" s="5">
        <v>0</v>
      </c>
    </row>
    <row r="68" spans="1:4" ht="15.6" x14ac:dyDescent="0.3">
      <c r="A68" s="16">
        <v>67</v>
      </c>
      <c r="B68" s="10">
        <f t="shared" si="0"/>
        <v>45</v>
      </c>
      <c r="D68" s="5">
        <v>45</v>
      </c>
    </row>
    <row r="69" spans="1:4" ht="15.6" x14ac:dyDescent="0.3">
      <c r="A69" s="16">
        <v>68</v>
      </c>
      <c r="B69" s="10">
        <f t="shared" si="0"/>
        <v>60</v>
      </c>
      <c r="D69" s="5">
        <v>60</v>
      </c>
    </row>
    <row r="70" spans="1:4" ht="15.6" x14ac:dyDescent="0.3">
      <c r="A70" s="16">
        <v>69</v>
      </c>
      <c r="B70" s="10">
        <f t="shared" si="0"/>
        <v>0</v>
      </c>
      <c r="D7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Tsitohaina Berthin Ramanankirahina</cp:lastModifiedBy>
  <dcterms:modified xsi:type="dcterms:W3CDTF">2026-01-27T10:08:08Z</dcterms:modified>
</cp:coreProperties>
</file>